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GitHub\5AHITM\ITP2\Lessons\#2024-10-11#\"/>
    </mc:Choice>
  </mc:AlternateContent>
  <xr:revisionPtr revIDLastSave="0" documentId="13_ncr:1_{9EB9BDFE-B44E-4E2A-B294-63254A5FDA77}" xr6:coauthVersionLast="47" xr6:coauthVersionMax="47" xr10:uidLastSave="{00000000-0000-0000-0000-000000000000}"/>
  <bookViews>
    <workbookView xWindow="-108" yWindow="-108" windowWidth="23256" windowHeight="12456" tabRatio="688" xr2:uid="{00000000-000D-0000-FFFF-FFFF00000000}"/>
  </bookViews>
  <sheets>
    <sheet name="Projektdaten" sheetId="2" r:id="rId1"/>
    <sheet name="Einstellungen" sheetId="68" r:id="rId2"/>
  </sheets>
  <functionGroups builtInGroupCount="19"/>
  <definedNames>
    <definedName name="_ist_vector" localSheetId="1">Einstellungen!$I$6:$N$6</definedName>
    <definedName name="_plan_vector" localSheetId="1">Einstellungen!$I$5:$N$5</definedName>
    <definedName name="fmtDATA_1" localSheetId="1">Einstellungen!$I$8:$K$8</definedName>
    <definedName name="fmtDATA_AP" localSheetId="1">Einstellungen!$I$10:$K$10</definedName>
    <definedName name="fmtDATA_Collection" localSheetId="1">Einstellungen!$I$9:$K$9</definedName>
    <definedName name="fmtPSP_1" localSheetId="1">Einstellungen!$B$8:$N$8</definedName>
    <definedName name="fmtPSP_AP" localSheetId="1">Einstellungen!$B$10:$N$10</definedName>
    <definedName name="fmtPSP_Collection" localSheetId="1">Einstellungen!$B$9:$N$9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68" l="1"/>
  <c r="G10" i="68"/>
  <c r="G17" i="68" l="1"/>
  <c r="F17" i="68"/>
  <c r="G16" i="68"/>
  <c r="F16" i="68"/>
  <c r="H12" i="68"/>
  <c r="G12" i="68"/>
  <c r="F12" i="68"/>
  <c r="E12" i="68" s="1"/>
  <c r="Q11" i="68"/>
  <c r="H11" i="68"/>
  <c r="G11" i="68"/>
  <c r="F11" i="68"/>
  <c r="E11" i="68" s="1"/>
  <c r="H10" i="68"/>
  <c r="E10" i="68"/>
  <c r="P9" i="68"/>
  <c r="P8" i="68" s="1"/>
  <c r="O9" i="68"/>
  <c r="O8" i="68" s="1"/>
  <c r="M9" i="68"/>
  <c r="M8" i="68" s="1"/>
  <c r="L9" i="68"/>
  <c r="L8" i="68" s="1"/>
  <c r="J9" i="68"/>
  <c r="J8" i="68" s="1"/>
  <c r="J7" i="68" s="1"/>
  <c r="I9" i="68"/>
  <c r="I8" i="68" s="1"/>
  <c r="I7" i="68" s="1"/>
  <c r="I3" i="68"/>
  <c r="L3" i="68" s="1"/>
  <c r="O3" i="68" s="1"/>
  <c r="O2" i="68"/>
  <c r="L2" i="68"/>
  <c r="I2" i="68"/>
  <c r="L7" i="68" l="1"/>
  <c r="M7" i="68"/>
  <c r="F9" i="68"/>
  <c r="G9" i="68"/>
  <c r="G8" i="68" s="1"/>
  <c r="F8" i="68" l="1"/>
  <c r="E8" i="68" s="1"/>
  <c r="E9" i="68"/>
  <c r="Q9" i="68"/>
  <c r="N9" i="68"/>
  <c r="K9" i="68"/>
  <c r="H9" i="68"/>
  <c r="Q8" i="68" l="1"/>
  <c r="H8" i="68"/>
  <c r="K8" i="68"/>
  <c r="N8" i="68"/>
</calcChain>
</file>

<file path=xl/sharedStrings.xml><?xml version="1.0" encoding="utf-8"?>
<sst xmlns="http://schemas.openxmlformats.org/spreadsheetml/2006/main" count="47" uniqueCount="38">
  <si>
    <t>Lvl</t>
  </si>
  <si>
    <t>PSP</t>
  </si>
  <si>
    <t>Aktivität</t>
  </si>
  <si>
    <t>Notizen/Beschreibung</t>
  </si>
  <si>
    <t>Gesamt</t>
  </si>
  <si>
    <t>Plan</t>
  </si>
  <si>
    <t xml:space="preserve"> IST</t>
  </si>
  <si>
    <t>%</t>
  </si>
  <si>
    <t>IST</t>
  </si>
  <si>
    <t>_plan</t>
  </si>
  <si>
    <t>_ist</t>
  </si>
  <si>
    <t>cumm:</t>
  </si>
  <si>
    <t>&lt;Projekt&gt;</t>
  </si>
  <si>
    <t>1.1</t>
  </si>
  <si>
    <t>Phase/Sammelvorgang</t>
  </si>
  <si>
    <t>1.1.1</t>
  </si>
  <si>
    <t>Arbeitspaket (mit Planwert)</t>
  </si>
  <si>
    <t>1.1.2</t>
  </si>
  <si>
    <t>Arbeitspaket ohne Planwert)</t>
  </si>
  <si>
    <t>1.1.3</t>
  </si>
  <si>
    <t>Meilenstein</t>
  </si>
  <si>
    <t>Mitarbeiterauslastung</t>
  </si>
  <si>
    <t>MA1</t>
  </si>
  <si>
    <t>MA2</t>
  </si>
  <si>
    <t>Pfad zu XML:</t>
  </si>
  <si>
    <t>Projektname:</t>
  </si>
  <si>
    <t>Start:</t>
  </si>
  <si>
    <t>Ende:</t>
  </si>
  <si>
    <t xml:space="preserve"> </t>
  </si>
  <si>
    <t>Stundensatz:</t>
  </si>
  <si>
    <t>Team:</t>
  </si>
  <si>
    <t>hier auch Datumsformat und weitere Formate (z.B. Kostenplan)</t>
  </si>
  <si>
    <t>C:\Users\johann\Downloads\CotmA (1).xml</t>
  </si>
  <si>
    <t>MZ,CZ</t>
  </si>
  <si>
    <t>v6</t>
  </si>
  <si>
    <t>Members a "TM1, TM2" werden als Fehler ausgewiesen</t>
  </si>
  <si>
    <t>v7</t>
  </si>
  <si>
    <t>bei manchen XML-exports fehlt bei Task0 der Name im XML-File -&gt; Task0 überspringen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</si>
</sst>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"/>
    <numFmt numFmtId="165" formatCode="#,##0.00_ ;\-#,##0.00\ 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51"/>
        <bgColor indexed="47"/>
      </patternFill>
    </fill>
    <fill>
      <patternFill patternType="solid">
        <fgColor indexed="44"/>
        <bgColor indexed="3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 style="double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42">
    <xf numFmtId="0" fontId="0" fillId="0" borderId="0" xfId="0"/>
    <xf numFmtId="49" fontId="5" fillId="0" borderId="0" xfId="0" applyNumberFormat="1" applyFont="1" applyAlignment="1">
      <alignment horizontal="left" wrapText="1"/>
    </xf>
    <xf numFmtId="0" fontId="5" fillId="0" borderId="0" xfId="0" applyFont="1" applyAlignment="1">
      <alignment horizontal="left" wrapText="1"/>
    </xf>
    <xf numFmtId="164" fontId="5" fillId="0" borderId="0" xfId="0" applyNumberFormat="1" applyFont="1" applyAlignment="1">
      <alignment horizontal="center"/>
    </xf>
    <xf numFmtId="164" fontId="5" fillId="0" borderId="1" xfId="0" applyNumberFormat="1" applyFont="1" applyBorder="1" applyAlignment="1">
      <alignment horizontal="center"/>
    </xf>
    <xf numFmtId="0" fontId="5" fillId="0" borderId="0" xfId="0" applyFont="1"/>
    <xf numFmtId="0" fontId="5" fillId="0" borderId="1" xfId="0" applyFont="1" applyBorder="1"/>
    <xf numFmtId="0" fontId="0" fillId="0" borderId="1" xfId="0" applyBorder="1"/>
    <xf numFmtId="0" fontId="0" fillId="4" borderId="0" xfId="0" applyFill="1"/>
    <xf numFmtId="2" fontId="0" fillId="4" borderId="0" xfId="0" applyNumberFormat="1" applyFill="1"/>
    <xf numFmtId="49" fontId="4" fillId="5" borderId="0" xfId="0" applyNumberFormat="1" applyFont="1" applyFill="1" applyAlignment="1">
      <alignment vertical="top"/>
    </xf>
    <xf numFmtId="2" fontId="4" fillId="5" borderId="0" xfId="0" applyNumberFormat="1" applyFont="1" applyFill="1" applyAlignment="1">
      <alignment vertical="top"/>
    </xf>
    <xf numFmtId="10" fontId="4" fillId="5" borderId="1" xfId="1" applyNumberFormat="1" applyFont="1" applyFill="1" applyBorder="1" applyAlignment="1">
      <alignment horizontal="right" vertical="top"/>
    </xf>
    <xf numFmtId="10" fontId="4" fillId="5" borderId="0" xfId="1" applyNumberFormat="1" applyFont="1" applyFill="1" applyAlignment="1">
      <alignment vertical="top"/>
    </xf>
    <xf numFmtId="49" fontId="4" fillId="6" borderId="0" xfId="0" quotePrefix="1" applyNumberFormat="1" applyFont="1" applyFill="1" applyAlignment="1">
      <alignment horizontal="left" vertical="top" wrapText="1"/>
    </xf>
    <xf numFmtId="49" fontId="7" fillId="6" borderId="0" xfId="0" quotePrefix="1" applyNumberFormat="1" applyFont="1" applyFill="1" applyAlignment="1">
      <alignment horizontal="left" vertical="top" indent="1"/>
    </xf>
    <xf numFmtId="2" fontId="7" fillId="6" borderId="0" xfId="0" quotePrefix="1" applyNumberFormat="1" applyFont="1" applyFill="1" applyAlignment="1">
      <alignment horizontal="right" vertical="top" wrapText="1"/>
    </xf>
    <xf numFmtId="10" fontId="7" fillId="6" borderId="1" xfId="1" quotePrefix="1" applyNumberFormat="1" applyFont="1" applyFill="1" applyBorder="1" applyAlignment="1">
      <alignment horizontal="right" vertical="top" wrapText="1"/>
    </xf>
    <xf numFmtId="10" fontId="7" fillId="6" borderId="0" xfId="1" quotePrefix="1" applyNumberFormat="1" applyFont="1" applyFill="1" applyBorder="1" applyAlignment="1">
      <alignment horizontal="right" vertical="top" wrapText="1"/>
    </xf>
    <xf numFmtId="49" fontId="0" fillId="0" borderId="0" xfId="0" quotePrefix="1" applyNumberFormat="1" applyAlignment="1">
      <alignment horizontal="left" vertical="top" wrapText="1"/>
    </xf>
    <xf numFmtId="49" fontId="0" fillId="0" borderId="0" xfId="0" quotePrefix="1" applyNumberFormat="1" applyAlignment="1">
      <alignment horizontal="left" vertical="top" indent="2"/>
    </xf>
    <xf numFmtId="2" fontId="0" fillId="0" borderId="0" xfId="0" quotePrefix="1" applyNumberFormat="1" applyAlignment="1">
      <alignment horizontal="right" vertical="top" wrapText="1"/>
    </xf>
    <xf numFmtId="10" fontId="0" fillId="0" borderId="1" xfId="0" quotePrefix="1" applyNumberFormat="1" applyBorder="1" applyAlignment="1">
      <alignment horizontal="right" vertical="top" wrapText="1"/>
    </xf>
    <xf numFmtId="10" fontId="0" fillId="0" borderId="0" xfId="1" quotePrefix="1" applyNumberFormat="1" applyFont="1" applyFill="1" applyAlignment="1">
      <alignment horizontal="right" vertical="top" wrapText="1"/>
    </xf>
    <xf numFmtId="49" fontId="8" fillId="0" borderId="0" xfId="0" quotePrefix="1" applyNumberFormat="1" applyFont="1" applyAlignment="1">
      <alignment horizontal="left" vertical="top" wrapText="1"/>
    </xf>
    <xf numFmtId="0" fontId="0" fillId="7" borderId="0" xfId="0" applyFill="1" applyAlignment="1">
      <alignment horizontal="left"/>
    </xf>
    <xf numFmtId="0" fontId="0" fillId="7" borderId="0" xfId="0" applyFill="1"/>
    <xf numFmtId="0" fontId="0" fillId="7" borderId="1" xfId="0" applyFill="1" applyBorder="1"/>
    <xf numFmtId="2" fontId="2" fillId="2" borderId="0" xfId="2" applyNumberFormat="1"/>
    <xf numFmtId="2" fontId="3" fillId="3" borderId="0" xfId="3" applyNumberFormat="1"/>
    <xf numFmtId="0" fontId="0" fillId="0" borderId="0" xfId="0" quotePrefix="1"/>
    <xf numFmtId="0" fontId="4" fillId="0" borderId="0" xfId="0" applyFont="1"/>
    <xf numFmtId="0" fontId="0" fillId="0" borderId="0" xfId="0" applyAlignment="1">
      <alignment horizontal="left"/>
    </xf>
    <xf numFmtId="165" fontId="0" fillId="0" borderId="0" xfId="0" applyNumberFormat="1"/>
    <xf numFmtId="14" fontId="0" fillId="6" borderId="0" xfId="0" applyNumberFormat="1" applyFill="1"/>
    <xf numFmtId="0" fontId="10" fillId="0" borderId="0" xfId="0" applyFont="1" applyAlignment="1">
      <alignment wrapText="1"/>
    </xf>
    <xf numFmtId="0" fontId="5" fillId="0" borderId="0" xfId="0" applyFont="1" applyAlignment="1">
      <alignment horizontal="center" vertical="center"/>
    </xf>
    <xf numFmtId="164" fontId="6" fillId="0" borderId="0" xfId="0" applyNumberFormat="1" applyFont="1" applyAlignment="1">
      <alignment horizontal="center"/>
    </xf>
    <xf numFmtId="0" fontId="4" fillId="7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center"/>
    </xf>
  </cellXfs>
  <cellStyles count="4">
    <cellStyle name="Bad" xfId="3" builtinId="27"/>
    <cellStyle name="Good" xfId="2" builtinId="26"/>
    <cellStyle name="Normal" xfId="0" builtinId="0"/>
    <cellStyle name="Percent" xfId="1" builtinId="5"/>
  </cellStyles>
  <dxfs count="7">
    <dxf>
      <font>
        <strike val="0"/>
        <color theme="0" tint="-0.14996795556505021"/>
      </font>
    </dxf>
    <dxf>
      <font>
        <strike val="0"/>
      </font>
      <fill>
        <patternFill>
          <bgColor theme="8" tint="0.79998168889431442"/>
        </patternFill>
      </fill>
    </dxf>
    <dxf>
      <font>
        <b/>
        <i val="0"/>
        <color theme="0" tint="-4.9989318521683403E-2"/>
      </font>
      <fill>
        <patternFill>
          <bgColor theme="1"/>
        </patternFill>
      </fill>
    </dxf>
    <dxf>
      <font>
        <color theme="0" tint="-0.14996795556505021"/>
      </font>
    </dxf>
    <dxf>
      <font>
        <strike val="0"/>
        <color theme="0" tint="-0.14996795556505021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</xdr:row>
          <xdr:rowOff>7620</xdr:rowOff>
        </xdr:from>
        <xdr:to>
          <xdr:col>2</xdr:col>
          <xdr:colOff>716280</xdr:colOff>
          <xdr:row>1</xdr:row>
          <xdr:rowOff>182880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3</xdr:row>
          <xdr:rowOff>22860</xdr:rowOff>
        </xdr:from>
        <xdr:to>
          <xdr:col>2</xdr:col>
          <xdr:colOff>716280</xdr:colOff>
          <xdr:row>4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45720</xdr:colOff>
          <xdr:row>0</xdr:row>
          <xdr:rowOff>175260</xdr:rowOff>
        </xdr:from>
        <xdr:to>
          <xdr:col>7</xdr:col>
          <xdr:colOff>68580</xdr:colOff>
          <xdr:row>1</xdr:row>
          <xdr:rowOff>182880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Sheet ...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4</xdr:row>
      <xdr:rowOff>85726</xdr:rowOff>
    </xdr:from>
    <xdr:to>
      <xdr:col>7</xdr:col>
      <xdr:colOff>733425</xdr:colOff>
      <xdr:row>7</xdr:row>
      <xdr:rowOff>9526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629400" y="847726"/>
          <a:ext cx="2143125" cy="49530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Für</a:t>
          </a:r>
          <a:r>
            <a:rPr lang="de-AT" sz="1100" baseline="0"/>
            <a:t> MS-Project 2016 XML (&lt;SaveVersion&gt;14&lt;/SaveVersion&gt;)</a:t>
          </a:r>
          <a:endParaRPr lang="de-A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95249</xdr:colOff>
      <xdr:row>14</xdr:row>
      <xdr:rowOff>0</xdr:rowOff>
    </xdr:from>
    <xdr:to>
      <xdr:col>12</xdr:col>
      <xdr:colOff>639536</xdr:colOff>
      <xdr:row>16</xdr:row>
      <xdr:rowOff>13606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820024" y="2667000"/>
          <a:ext cx="1477737" cy="394606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Auslastung bei MA1 OK</a:t>
          </a:r>
          <a:r>
            <a:rPr lang="de-AT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(lt. Plan!)</a:t>
          </a:r>
          <a:endParaRPr lang="de-AT" sz="1100"/>
        </a:p>
      </xdr:txBody>
    </xdr:sp>
    <xdr:clientData/>
  </xdr:twoCellAnchor>
  <xdr:twoCellAnchor>
    <xdr:from>
      <xdr:col>10</xdr:col>
      <xdr:colOff>54427</xdr:colOff>
      <xdr:row>16</xdr:row>
      <xdr:rowOff>54430</xdr:rowOff>
    </xdr:from>
    <xdr:to>
      <xdr:col>12</xdr:col>
      <xdr:colOff>544285</xdr:colOff>
      <xdr:row>17</xdr:row>
      <xdr:rowOff>122464</xdr:rowOff>
    </xdr:to>
    <xdr:sp macro="" textlink="">
      <xdr:nvSpPr>
        <xdr:cNvPr id="3" name="Textfeld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779202" y="3102430"/>
          <a:ext cx="1518558" cy="258534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AT" sz="1100"/>
            <a:t>Überlastung bei MA2 </a:t>
          </a:r>
          <a:r>
            <a:rPr lang="de-AT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(lt. Plan!)</a:t>
          </a:r>
          <a:endParaRPr lang="de-A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2:H21"/>
  <sheetViews>
    <sheetView tabSelected="1" workbookViewId="0">
      <selection activeCell="C3" sqref="C3"/>
    </sheetView>
  </sheetViews>
  <sheetFormatPr defaultColWidth="11.5546875" defaultRowHeight="14.4" x14ac:dyDescent="0.3"/>
  <cols>
    <col min="1" max="1" width="13" bestFit="1" customWidth="1"/>
    <col min="2" max="2" width="61.88671875" customWidth="1"/>
    <col min="3" max="3" width="11.44140625" customWidth="1"/>
    <col min="5" max="5" width="0" hidden="1" customWidth="1"/>
  </cols>
  <sheetData>
    <row r="2" spans="1:8" x14ac:dyDescent="0.3">
      <c r="A2" s="31" t="s">
        <v>24</v>
      </c>
      <c r="B2" t="s">
        <v>32</v>
      </c>
    </row>
    <row r="3" spans="1:8" x14ac:dyDescent="0.3">
      <c r="A3" s="31"/>
    </row>
    <row r="4" spans="1:8" x14ac:dyDescent="0.3">
      <c r="A4" s="31" t="s">
        <v>25</v>
      </c>
    </row>
    <row r="5" spans="1:8" x14ac:dyDescent="0.3">
      <c r="A5" s="31"/>
    </row>
    <row r="6" spans="1:8" x14ac:dyDescent="0.3">
      <c r="A6" s="31" t="s">
        <v>26</v>
      </c>
      <c r="B6" s="34">
        <v>42989</v>
      </c>
    </row>
    <row r="7" spans="1:8" x14ac:dyDescent="0.3">
      <c r="A7" s="31" t="s">
        <v>27</v>
      </c>
      <c r="B7" s="34">
        <v>43091</v>
      </c>
    </row>
    <row r="8" spans="1:8" x14ac:dyDescent="0.3">
      <c r="A8" s="31"/>
    </row>
    <row r="9" spans="1:8" x14ac:dyDescent="0.3">
      <c r="A9" s="31" t="s">
        <v>30</v>
      </c>
      <c r="B9" s="34" t="s">
        <v>33</v>
      </c>
    </row>
    <row r="10" spans="1:8" x14ac:dyDescent="0.3">
      <c r="E10" t="s">
        <v>28</v>
      </c>
    </row>
    <row r="14" spans="1:8" x14ac:dyDescent="0.3">
      <c r="D14" t="s">
        <v>28</v>
      </c>
    </row>
    <row r="15" spans="1:8" x14ac:dyDescent="0.3">
      <c r="B15" s="35"/>
      <c r="C15" s="35"/>
      <c r="D15" s="35"/>
      <c r="E15" s="35"/>
      <c r="F15" s="35"/>
      <c r="G15" s="35" t="s">
        <v>28</v>
      </c>
      <c r="H15" t="s">
        <v>28</v>
      </c>
    </row>
    <row r="19" spans="1:2" x14ac:dyDescent="0.3">
      <c r="B19" t="s">
        <v>28</v>
      </c>
    </row>
    <row r="20" spans="1:2" x14ac:dyDescent="0.3">
      <c r="A20" t="s">
        <v>34</v>
      </c>
      <c r="B20" t="s">
        <v>35</v>
      </c>
    </row>
    <row r="21" spans="1:2" x14ac:dyDescent="0.3">
      <c r="A21" t="s">
        <v>36</v>
      </c>
      <c r="B21" t="s">
        <v>37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haltfläche_ChooseXMLFile">
                <anchor moveWithCells="1" sizeWithCells="1">
                  <from>
                    <xdr:col>2</xdr:col>
                    <xdr:colOff>38100</xdr:colOff>
                    <xdr:row>1</xdr:row>
                    <xdr:rowOff>7620</xdr:rowOff>
                  </from>
                  <to>
                    <xdr:col>2</xdr:col>
                    <xdr:colOff>716280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chaltfläche_ImportXMLFile">
                <anchor moveWithCells="1" sizeWithCells="1">
                  <from>
                    <xdr:col>2</xdr:col>
                    <xdr:colOff>38100</xdr:colOff>
                    <xdr:row>3</xdr:row>
                    <xdr:rowOff>22860</xdr:rowOff>
                  </from>
                  <to>
                    <xdr:col>2</xdr:col>
                    <xdr:colOff>716280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emove_ProjSheets">
                <anchor moveWithCells="1" sizeWithCells="1">
                  <from>
                    <xdr:col>5</xdr:col>
                    <xdr:colOff>45720</xdr:colOff>
                    <xdr:row>0</xdr:row>
                    <xdr:rowOff>175260</xdr:rowOff>
                  </from>
                  <to>
                    <xdr:col>7</xdr:col>
                    <xdr:colOff>68580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1:Q27"/>
  <sheetViews>
    <sheetView workbookViewId="0">
      <selection activeCell="B9" sqref="B9:N9"/>
    </sheetView>
  </sheetViews>
  <sheetFormatPr defaultColWidth="11.5546875" defaultRowHeight="14.4" x14ac:dyDescent="0.3"/>
  <cols>
    <col min="1" max="1" width="3.6640625" bestFit="1" customWidth="1"/>
    <col min="2" max="2" width="5.109375" bestFit="1" customWidth="1"/>
    <col min="3" max="3" width="29.5546875" bestFit="1" customWidth="1"/>
    <col min="4" max="4" width="22.109375" customWidth="1"/>
    <col min="5" max="5" width="5.33203125" customWidth="1"/>
    <col min="9" max="17" width="7.88671875" customWidth="1"/>
  </cols>
  <sheetData>
    <row r="1" spans="1:17" x14ac:dyDescent="0.3">
      <c r="B1" s="32"/>
    </row>
    <row r="2" spans="1:17" x14ac:dyDescent="0.3">
      <c r="A2" s="1" t="s">
        <v>0</v>
      </c>
      <c r="B2" s="1" t="s">
        <v>1</v>
      </c>
      <c r="C2" s="2" t="s">
        <v>2</v>
      </c>
      <c r="D2" s="2" t="s">
        <v>3</v>
      </c>
      <c r="E2" s="2"/>
      <c r="F2" s="40" t="s">
        <v>4</v>
      </c>
      <c r="G2" s="40"/>
      <c r="H2" s="41"/>
      <c r="I2" s="36" t="str">
        <f>"Woche " &amp; (COLUMN(I2) - COLUMN($I2)) / 3 + 1</f>
        <v>Woche 1</v>
      </c>
      <c r="J2" s="36"/>
      <c r="K2" s="36"/>
      <c r="L2" s="36" t="str">
        <f t="shared" ref="L2" si="0">"Woche " &amp; (COLUMN(L2) - COLUMN($I2)) / 3 + 1</f>
        <v>Woche 2</v>
      </c>
      <c r="M2" s="36"/>
      <c r="N2" s="36"/>
      <c r="O2" s="36" t="str">
        <f t="shared" ref="O2" si="1">"Woche " &amp; (COLUMN(O2) - COLUMN($I2)) / 3 + 1</f>
        <v>Woche 3</v>
      </c>
      <c r="P2" s="36"/>
      <c r="Q2" s="36"/>
    </row>
    <row r="3" spans="1:17" x14ac:dyDescent="0.3">
      <c r="B3" s="1"/>
      <c r="C3" s="2"/>
      <c r="D3" s="2"/>
      <c r="E3" s="2"/>
      <c r="F3" s="3"/>
      <c r="G3" s="3"/>
      <c r="H3" s="4"/>
      <c r="I3" s="37">
        <f ca="1">TODAY()</f>
        <v>45576</v>
      </c>
      <c r="J3" s="37"/>
      <c r="K3" s="37"/>
      <c r="L3" s="37">
        <f ca="1">I3+7</f>
        <v>45583</v>
      </c>
      <c r="M3" s="37"/>
      <c r="N3" s="37"/>
      <c r="O3" s="37">
        <f ca="1">L3+7</f>
        <v>45590</v>
      </c>
      <c r="P3" s="37"/>
      <c r="Q3" s="37"/>
    </row>
    <row r="4" spans="1:17" x14ac:dyDescent="0.3">
      <c r="B4" s="1"/>
      <c r="C4" s="2"/>
      <c r="D4" s="2"/>
      <c r="E4" s="2"/>
      <c r="F4" s="5" t="s">
        <v>5</v>
      </c>
      <c r="G4" s="5" t="s">
        <v>6</v>
      </c>
      <c r="H4" s="6" t="s">
        <v>7</v>
      </c>
      <c r="I4" s="5" t="s">
        <v>5</v>
      </c>
      <c r="J4" s="5" t="s">
        <v>8</v>
      </c>
      <c r="K4" s="5" t="s">
        <v>7</v>
      </c>
      <c r="L4" s="5" t="s">
        <v>5</v>
      </c>
      <c r="M4" s="5" t="s">
        <v>8</v>
      </c>
      <c r="N4" s="5" t="s">
        <v>7</v>
      </c>
    </row>
    <row r="5" spans="1:17" x14ac:dyDescent="0.3">
      <c r="B5" s="1"/>
      <c r="C5" s="2"/>
      <c r="D5" s="2"/>
      <c r="E5" s="2"/>
      <c r="F5" t="s">
        <v>9</v>
      </c>
      <c r="H5" s="7"/>
      <c r="I5">
        <v>1</v>
      </c>
      <c r="J5">
        <v>0</v>
      </c>
      <c r="K5">
        <v>0</v>
      </c>
      <c r="L5">
        <v>1</v>
      </c>
      <c r="M5">
        <v>0</v>
      </c>
      <c r="N5">
        <v>0</v>
      </c>
    </row>
    <row r="6" spans="1:17" x14ac:dyDescent="0.3">
      <c r="B6" s="32"/>
      <c r="F6" t="s">
        <v>10</v>
      </c>
      <c r="H6" s="7"/>
      <c r="I6">
        <v>0</v>
      </c>
      <c r="J6">
        <v>1</v>
      </c>
      <c r="K6">
        <v>0</v>
      </c>
      <c r="L6">
        <v>0</v>
      </c>
      <c r="M6">
        <v>1</v>
      </c>
      <c r="N6">
        <v>0</v>
      </c>
    </row>
    <row r="7" spans="1:17" x14ac:dyDescent="0.3">
      <c r="B7" s="32"/>
      <c r="F7" s="8"/>
      <c r="G7" s="8"/>
      <c r="H7" s="7" t="s">
        <v>11</v>
      </c>
      <c r="I7" s="9">
        <f>I8</f>
        <v>2</v>
      </c>
      <c r="J7" s="9">
        <f>J8</f>
        <v>1</v>
      </c>
      <c r="L7" s="9">
        <f t="shared" ref="L7:M7" si="2">L8+I7</f>
        <v>3</v>
      </c>
      <c r="M7" s="9">
        <f t="shared" si="2"/>
        <v>2</v>
      </c>
    </row>
    <row r="8" spans="1:17" x14ac:dyDescent="0.3">
      <c r="A8">
        <v>1</v>
      </c>
      <c r="B8" s="10">
        <v>1</v>
      </c>
      <c r="C8" s="11" t="s">
        <v>12</v>
      </c>
      <c r="D8" s="11"/>
      <c r="E8" s="11">
        <f>F8</f>
        <v>3</v>
      </c>
      <c r="F8" s="11">
        <f>SUM(F9)</f>
        <v>3</v>
      </c>
      <c r="G8" s="11">
        <f>SUM(G9)</f>
        <v>2</v>
      </c>
      <c r="H8" s="12">
        <f>SUM(H9*F9)/F8</f>
        <v>3.3333333333333333E-2</v>
      </c>
      <c r="I8" s="11">
        <f>SUM(I9)</f>
        <v>2</v>
      </c>
      <c r="J8" s="11">
        <f>SUM(J9)</f>
        <v>1</v>
      </c>
      <c r="K8" s="13">
        <f>SUM(K9*$F9)/$F8</f>
        <v>0</v>
      </c>
      <c r="L8" s="11">
        <f t="shared" ref="L8:M8" si="3">SUM(L9)</f>
        <v>1</v>
      </c>
      <c r="M8" s="11">
        <f t="shared" si="3"/>
        <v>1</v>
      </c>
      <c r="N8" s="13">
        <f t="shared" ref="N8" si="4">SUM(N9*$F9)/$F8</f>
        <v>3.3333333333333333E-2</v>
      </c>
      <c r="O8" s="11">
        <f t="shared" ref="O8:P8" si="5">SUM(O9)</f>
        <v>0</v>
      </c>
      <c r="P8" s="11">
        <f t="shared" si="5"/>
        <v>1</v>
      </c>
      <c r="Q8" s="13">
        <f t="shared" ref="Q8" si="6">SUM(Q9*$F9)/$F8</f>
        <v>3.3333333333333333E-2</v>
      </c>
    </row>
    <row r="9" spans="1:17" x14ac:dyDescent="0.3">
      <c r="A9">
        <v>2</v>
      </c>
      <c r="B9" s="14" t="s">
        <v>13</v>
      </c>
      <c r="C9" s="15" t="s">
        <v>14</v>
      </c>
      <c r="D9" s="14"/>
      <c r="E9" s="14">
        <f t="shared" ref="E9:E12" si="7">F9</f>
        <v>3</v>
      </c>
      <c r="F9" s="16">
        <f>SUM(F10:F12)</f>
        <v>3</v>
      </c>
      <c r="G9" s="16">
        <f>SUM(G10:G12)</f>
        <v>2</v>
      </c>
      <c r="H9" s="17">
        <f>SUMPRODUCT($F10:$F12,H10:H12)/$F9</f>
        <v>3.3333333333333333E-2</v>
      </c>
      <c r="I9" s="16">
        <f>SUM(I10:I12)</f>
        <v>2</v>
      </c>
      <c r="J9" s="16">
        <f>SUM(J10:J12)</f>
        <v>1</v>
      </c>
      <c r="K9" s="18">
        <f>SUMPRODUCT($F10:$F12,K10:K12)/$F9</f>
        <v>0</v>
      </c>
      <c r="L9" s="16">
        <f t="shared" ref="L9:M9" si="8">SUM(L10:L12)</f>
        <v>1</v>
      </c>
      <c r="M9" s="16">
        <f t="shared" si="8"/>
        <v>1</v>
      </c>
      <c r="N9" s="18">
        <f t="shared" ref="N9" si="9">SUMPRODUCT($F10:$F12,N10:N12)/$F9</f>
        <v>3.3333333333333333E-2</v>
      </c>
      <c r="O9" s="16">
        <f t="shared" ref="O9:P9" si="10">SUM(O10:O12)</f>
        <v>0</v>
      </c>
      <c r="P9" s="16">
        <f t="shared" si="10"/>
        <v>1</v>
      </c>
      <c r="Q9" s="18">
        <f t="shared" ref="Q9" si="11">SUMPRODUCT($F10:$F12,Q10:Q12)/$F9</f>
        <v>3.3333333333333333E-2</v>
      </c>
    </row>
    <row r="10" spans="1:17" x14ac:dyDescent="0.3">
      <c r="A10">
        <v>3</v>
      </c>
      <c r="B10" s="19" t="s">
        <v>15</v>
      </c>
      <c r="C10" s="20" t="s">
        <v>16</v>
      </c>
      <c r="D10" s="19"/>
      <c r="E10" s="19">
        <f t="shared" si="7"/>
        <v>2</v>
      </c>
      <c r="F10" s="21">
        <f>SUMPRODUCT(I10:N10,I5:N5)</f>
        <v>2</v>
      </c>
      <c r="G10" s="21">
        <f>SUMPRODUCT(I10:N10,I6:N6)</f>
        <v>0</v>
      </c>
      <c r="H10" s="22">
        <f>N10</f>
        <v>0</v>
      </c>
      <c r="I10" s="21">
        <v>1</v>
      </c>
      <c r="J10" s="21"/>
      <c r="K10" s="23">
        <v>0</v>
      </c>
      <c r="L10" s="21">
        <v>1</v>
      </c>
      <c r="M10" s="21"/>
      <c r="N10" s="23">
        <v>0</v>
      </c>
      <c r="O10" s="21"/>
      <c r="P10" s="21"/>
      <c r="Q10" s="23">
        <v>0</v>
      </c>
    </row>
    <row r="11" spans="1:17" x14ac:dyDescent="0.3">
      <c r="A11">
        <v>3</v>
      </c>
      <c r="B11" s="19" t="s">
        <v>17</v>
      </c>
      <c r="C11" s="20" t="s">
        <v>18</v>
      </c>
      <c r="D11" s="19"/>
      <c r="E11" s="19">
        <f t="shared" si="7"/>
        <v>1</v>
      </c>
      <c r="F11" s="21">
        <f>SUMPRODUCT(I11:N11,_plan_vector)</f>
        <v>1</v>
      </c>
      <c r="G11" s="21">
        <f>SUMPRODUCT(I11:N11,_ist_vector)</f>
        <v>2</v>
      </c>
      <c r="H11" s="22">
        <f t="shared" ref="H11:H12" si="12">N11</f>
        <v>0.1</v>
      </c>
      <c r="I11" s="21">
        <v>1</v>
      </c>
      <c r="J11" s="21">
        <v>1</v>
      </c>
      <c r="K11" s="23">
        <v>0</v>
      </c>
      <c r="L11" s="21"/>
      <c r="M11" s="21">
        <v>1</v>
      </c>
      <c r="N11" s="23">
        <v>0.1</v>
      </c>
      <c r="O11" s="21"/>
      <c r="P11" s="21">
        <v>1</v>
      </c>
      <c r="Q11" s="23">
        <f>N11</f>
        <v>0.1</v>
      </c>
    </row>
    <row r="12" spans="1:17" x14ac:dyDescent="0.3">
      <c r="A12">
        <v>3</v>
      </c>
      <c r="B12" s="19" t="s">
        <v>19</v>
      </c>
      <c r="C12" s="20" t="s">
        <v>20</v>
      </c>
      <c r="D12" s="24"/>
      <c r="E12" s="24">
        <f t="shared" si="7"/>
        <v>0</v>
      </c>
      <c r="F12" s="21">
        <f>SUMPRODUCT(I12:N12,_plan_vector)</f>
        <v>0</v>
      </c>
      <c r="G12" s="21">
        <f>SUMPRODUCT(I12:N12,_ist_vector)</f>
        <v>0</v>
      </c>
      <c r="H12" s="22">
        <f t="shared" si="12"/>
        <v>0</v>
      </c>
      <c r="I12" s="21"/>
      <c r="J12" s="21"/>
      <c r="K12" s="23">
        <v>0</v>
      </c>
      <c r="L12" s="21"/>
      <c r="M12" s="21"/>
      <c r="N12" s="23">
        <v>0</v>
      </c>
      <c r="O12" s="21"/>
      <c r="P12" s="21"/>
      <c r="Q12" s="23">
        <v>0</v>
      </c>
    </row>
    <row r="13" spans="1:17" x14ac:dyDescent="0.3">
      <c r="B13" s="24"/>
      <c r="C13" s="24"/>
      <c r="D13" s="24"/>
      <c r="E13" s="24"/>
      <c r="F13" s="24"/>
      <c r="G13" s="24"/>
      <c r="H13" s="22"/>
      <c r="I13" s="21"/>
      <c r="J13" s="21"/>
      <c r="K13" s="23"/>
      <c r="L13" s="21"/>
      <c r="M13" s="21"/>
      <c r="N13" s="23"/>
      <c r="O13" s="21"/>
      <c r="P13" s="21"/>
      <c r="Q13" s="23"/>
    </row>
    <row r="14" spans="1:17" x14ac:dyDescent="0.3">
      <c r="B14" s="38" t="s">
        <v>21</v>
      </c>
      <c r="C14" s="38"/>
      <c r="D14" s="24"/>
      <c r="E14" s="24"/>
      <c r="H14" s="22"/>
      <c r="I14" s="21"/>
      <c r="J14" s="21"/>
      <c r="K14" s="23"/>
      <c r="L14" s="21"/>
      <c r="M14" s="21"/>
      <c r="N14" s="23"/>
      <c r="O14" s="21"/>
      <c r="P14" s="21"/>
      <c r="Q14" s="23"/>
    </row>
    <row r="15" spans="1:17" x14ac:dyDescent="0.3">
      <c r="B15" s="25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</row>
    <row r="16" spans="1:17" x14ac:dyDescent="0.3">
      <c r="B16" s="39" t="s">
        <v>22</v>
      </c>
      <c r="C16" s="39"/>
      <c r="D16" s="24"/>
      <c r="E16" s="24"/>
      <c r="F16" s="21">
        <f>SUMPRODUCT(I16:N16,_plan_vector)</f>
        <v>2</v>
      </c>
      <c r="G16" s="21">
        <f>SUMPRODUCT(I16:N16,_ist_vector)</f>
        <v>2</v>
      </c>
      <c r="H16" s="22"/>
      <c r="I16" s="28">
        <v>1</v>
      </c>
      <c r="J16" s="28">
        <v>1</v>
      </c>
      <c r="L16" s="28">
        <v>1</v>
      </c>
      <c r="M16" s="28">
        <v>1</v>
      </c>
      <c r="O16" s="28">
        <v>1</v>
      </c>
      <c r="P16" s="28">
        <v>1</v>
      </c>
    </row>
    <row r="17" spans="1:16" x14ac:dyDescent="0.3">
      <c r="B17" s="39" t="s">
        <v>23</v>
      </c>
      <c r="C17" s="39"/>
      <c r="D17" s="24"/>
      <c r="E17" s="24"/>
      <c r="F17" s="21">
        <f>SUMPRODUCT(I17:N17,_plan_vector)</f>
        <v>200</v>
      </c>
      <c r="G17" s="21">
        <f>SUMPRODUCT(I17:N17,_ist_vector)</f>
        <v>2</v>
      </c>
      <c r="H17" s="22"/>
      <c r="I17" s="29">
        <v>100</v>
      </c>
      <c r="J17" s="29">
        <v>1</v>
      </c>
      <c r="L17" s="29">
        <v>100</v>
      </c>
      <c r="M17" s="29">
        <v>1</v>
      </c>
      <c r="O17" s="29">
        <v>100</v>
      </c>
      <c r="P17" s="29">
        <v>1</v>
      </c>
    </row>
    <row r="24" spans="1:16" x14ac:dyDescent="0.3">
      <c r="B24" s="30"/>
    </row>
    <row r="25" spans="1:16" x14ac:dyDescent="0.3">
      <c r="C25" t="s">
        <v>31</v>
      </c>
    </row>
    <row r="27" spans="1:16" x14ac:dyDescent="0.3">
      <c r="A27" s="31" t="s">
        <v>29</v>
      </c>
      <c r="D27" s="33">
        <v>11.23</v>
      </c>
    </row>
  </sheetData>
  <mergeCells count="10">
    <mergeCell ref="B14:C14"/>
    <mergeCell ref="B16:C16"/>
    <mergeCell ref="B17:C17"/>
    <mergeCell ref="F2:H2"/>
    <mergeCell ref="I2:K2"/>
    <mergeCell ref="L2:N2"/>
    <mergeCell ref="O2:Q2"/>
    <mergeCell ref="I3:K3"/>
    <mergeCell ref="L3:N3"/>
    <mergeCell ref="O3:Q3"/>
  </mergeCells>
  <conditionalFormatting sqref="I2:Q3">
    <cfRule type="expression" dxfId="6" priority="7">
      <formula>AND(YEAR(TODAY()) = YEAR(I$3-1),WEEKNUM(TODAY()) = WEEKNUM(I$3-1))</formula>
    </cfRule>
  </conditionalFormatting>
  <conditionalFormatting sqref="B9:C12">
    <cfRule type="expression" dxfId="5" priority="6">
      <formula>$E9=0</formula>
    </cfRule>
  </conditionalFormatting>
  <conditionalFormatting sqref="F9:H12">
    <cfRule type="expression" dxfId="4" priority="5">
      <formula>F9 = 0</formula>
    </cfRule>
  </conditionalFormatting>
  <conditionalFormatting sqref="K9:K12 N9:N12 Q9:Q12">
    <cfRule type="expression" dxfId="3" priority="1">
      <formula>(K9=H9)</formula>
    </cfRule>
  </conditionalFormatting>
  <conditionalFormatting sqref="I9:Q12">
    <cfRule type="expression" dxfId="2" priority="2">
      <formula>AND(INDEX($I9:K9,FLOOR((COLUMN(I5)-COLUMN($I5)) / 3,1)*3+1) &gt; 0,$A10 &gt; $A9)</formula>
    </cfRule>
    <cfRule type="expression" dxfId="1" priority="3">
      <formula>INDEX($I9:K9,FLOOR((COLUMN(I5)-COLUMN($I5)) / 3,1)*3+1) &gt; 0</formula>
    </cfRule>
    <cfRule type="expression" dxfId="0" priority="4">
      <formula>I9 = 0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8</vt:i4>
      </vt:variant>
    </vt:vector>
  </HeadingPairs>
  <TitlesOfParts>
    <vt:vector size="10" baseType="lpstr">
      <vt:lpstr>Projektdaten</vt:lpstr>
      <vt:lpstr>Einstellungen</vt:lpstr>
      <vt:lpstr>Einstellungen!_ist_vector</vt:lpstr>
      <vt:lpstr>Einstellungen!_plan_vector</vt:lpstr>
      <vt:lpstr>Einstellungen!fmtDATA_1</vt:lpstr>
      <vt:lpstr>Einstellungen!fmtDATA_AP</vt:lpstr>
      <vt:lpstr>Einstellungen!fmtDATA_Collection</vt:lpstr>
      <vt:lpstr>Einstellungen!fmtPSP_1</vt:lpstr>
      <vt:lpstr>Einstellungen!fmtPSP_AP</vt:lpstr>
      <vt:lpstr>Einstellungen!fmtPSP_Collection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 Burgstaller</dc:creator>
  <cp:lastModifiedBy>Zoe McFife</cp:lastModifiedBy>
  <dcterms:created xsi:type="dcterms:W3CDTF">2014-02-21T16:11:07Z</dcterms:created>
  <dcterms:modified xsi:type="dcterms:W3CDTF">2024-10-11T12:14:55Z</dcterms:modified>
</cp:coreProperties>
</file>