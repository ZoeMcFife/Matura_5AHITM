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GitHub\5AHITM\ITP2\Lessons\#2024-10-11#\"/>
    </mc:Choice>
  </mc:AlternateContent>
  <xr:revisionPtr revIDLastSave="0" documentId="13_ncr:1_{AD8649CF-A671-4BBA-9FCA-F13925C5797E}" xr6:coauthVersionLast="47" xr6:coauthVersionMax="47" xr10:uidLastSave="{00000000-0000-0000-0000-000000000000}"/>
  <bookViews>
    <workbookView xWindow="-108" yWindow="-108" windowWidth="23256" windowHeight="12456" tabRatio="688" firstSheet="2" activeTab="4" xr2:uid="{00000000-000D-0000-FFFF-FFFF00000000}"/>
  </bookViews>
  <sheets>
    <sheet name="Projektdaten" sheetId="2" r:id="rId1"/>
    <sheet name="GANTT" sheetId="69" r:id="rId2"/>
    <sheet name="Termine" sheetId="73" r:id="rId3"/>
    <sheet name="W" sheetId="70" r:id="rId4"/>
    <sheet name="J" sheetId="71" r:id="rId5"/>
    <sheet name="F" sheetId="72" r:id="rId6"/>
    <sheet name="AP Abnahme" sheetId="74" r:id="rId7"/>
    <sheet name="MS Plan" sheetId="75" r:id="rId8"/>
    <sheet name="Funktionendiagramm" sheetId="76" r:id="rId9"/>
    <sheet name="Personaleinsatz" sheetId="77" r:id="rId10"/>
    <sheet name="Kostenplan" sheetId="79" r:id="rId11"/>
    <sheet name="Risikoanalyse" sheetId="78" r:id="rId12"/>
    <sheet name="EVA" sheetId="80" r:id="rId13"/>
    <sheet name="Ablagestruktur" sheetId="81" r:id="rId14"/>
    <sheet name="Einstellungen" sheetId="68" r:id="rId15"/>
  </sheets>
  <functionGroups builtInGroupCount="19"/>
  <definedNames>
    <definedName name="_ist_vector" localSheetId="14">Einstellungen!$I$6:$N$6</definedName>
    <definedName name="_plan_vector" localSheetId="14">Einstellungen!$I$5:$N$5</definedName>
    <definedName name="fmtDATA_1" localSheetId="14">Einstellungen!$I$8:$K$8</definedName>
    <definedName name="fmtDATA_AP" localSheetId="14">Einstellungen!$I$10:$K$10</definedName>
    <definedName name="fmtDATA_Collection" localSheetId="14">Einstellungen!$I$9:$K$9</definedName>
    <definedName name="fmtPSP_1" localSheetId="14">Einstellungen!$B$8:$N$8</definedName>
    <definedName name="fmtPSP_AP" localSheetId="14">Einstellungen!$B$10:$N$10</definedName>
    <definedName name="fmtPSP_Collection" localSheetId="14">Einstellungen!$B$9:$N$9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81" l="1"/>
  <c r="B21" i="81"/>
  <c r="C21" i="81" s="1"/>
  <c r="A21" i="81"/>
  <c r="F21" i="81" s="1"/>
  <c r="D20" i="81"/>
  <c r="C20" i="81"/>
  <c r="B20" i="81"/>
  <c r="A20" i="81"/>
  <c r="F19" i="81"/>
  <c r="C19" i="81"/>
  <c r="B19" i="81"/>
  <c r="A19" i="81"/>
  <c r="E19" i="81" s="1"/>
  <c r="B18" i="81"/>
  <c r="C18" i="81" s="1"/>
  <c r="D18" i="81" s="1"/>
  <c r="A18" i="81"/>
  <c r="F18" i="81" s="1"/>
  <c r="B17" i="81"/>
  <c r="C17" i="81" s="1"/>
  <c r="D17" i="81" s="1"/>
  <c r="A17" i="81"/>
  <c r="F16" i="81" s="1"/>
  <c r="E16" i="81"/>
  <c r="B16" i="81"/>
  <c r="C16" i="81" s="1"/>
  <c r="D16" i="81" s="1"/>
  <c r="A16" i="81"/>
  <c r="E15" i="81" s="1"/>
  <c r="F15" i="81"/>
  <c r="B15" i="81"/>
  <c r="C15" i="81" s="1"/>
  <c r="A15" i="81"/>
  <c r="F14" i="81"/>
  <c r="E14" i="81"/>
  <c r="C14" i="81"/>
  <c r="B14" i="81"/>
  <c r="A14" i="81"/>
  <c r="F13" i="81"/>
  <c r="E13" i="81"/>
  <c r="D13" i="81"/>
  <c r="G13" i="81" s="1"/>
  <c r="C13" i="81"/>
  <c r="B13" i="81"/>
  <c r="A13" i="81"/>
  <c r="F12" i="81" s="1"/>
  <c r="C12" i="81"/>
  <c r="B12" i="81"/>
  <c r="A12" i="81"/>
  <c r="E12" i="81" s="1"/>
  <c r="C11" i="81"/>
  <c r="D11" i="81" s="1"/>
  <c r="B11" i="81"/>
  <c r="A11" i="81"/>
  <c r="F10" i="81"/>
  <c r="E10" i="81"/>
  <c r="B10" i="81"/>
  <c r="C10" i="81" s="1"/>
  <c r="A10" i="81"/>
  <c r="B9" i="81"/>
  <c r="C9" i="81" s="1"/>
  <c r="A9" i="81"/>
  <c r="C8" i="81"/>
  <c r="D8" i="81" s="1"/>
  <c r="B8" i="81"/>
  <c r="A8" i="81"/>
  <c r="H3" i="81"/>
  <c r="D12" i="81" s="1"/>
  <c r="G12" i="81" s="1"/>
  <c r="H2" i="81"/>
  <c r="C1" i="80"/>
  <c r="I74" i="79"/>
  <c r="I73" i="79" s="1"/>
  <c r="I69" i="79"/>
  <c r="I68" i="79" s="1"/>
  <c r="I64" i="79"/>
  <c r="I63" i="79" s="1"/>
  <c r="I59" i="79"/>
  <c r="I58" i="79" s="1"/>
  <c r="I54" i="79"/>
  <c r="I53" i="79" s="1"/>
  <c r="I49" i="79"/>
  <c r="I48" i="79" s="1"/>
  <c r="I44" i="79"/>
  <c r="I43" i="79" s="1"/>
  <c r="I39" i="79"/>
  <c r="I38" i="79" s="1"/>
  <c r="I34" i="79"/>
  <c r="I33" i="79" s="1"/>
  <c r="I29" i="79"/>
  <c r="I28" i="79" s="1"/>
  <c r="I24" i="79"/>
  <c r="I23" i="79" s="1"/>
  <c r="I19" i="79"/>
  <c r="I18" i="79" s="1"/>
  <c r="I14" i="79"/>
  <c r="I13" i="79" s="1"/>
  <c r="I9" i="79"/>
  <c r="I8" i="79" s="1"/>
  <c r="K78" i="79"/>
  <c r="J78" i="79"/>
  <c r="H78" i="79"/>
  <c r="E78" i="79"/>
  <c r="N17" i="78"/>
  <c r="N9" i="78"/>
  <c r="N8" i="78"/>
  <c r="I17" i="78"/>
  <c r="I9" i="78"/>
  <c r="I8" i="78"/>
  <c r="E22" i="78"/>
  <c r="J22" i="77"/>
  <c r="I22" i="77"/>
  <c r="G22" i="77"/>
  <c r="E22" i="77"/>
  <c r="E22" i="76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E22" i="75"/>
  <c r="E22" i="74"/>
  <c r="AM22" i="73"/>
  <c r="AM20" i="73"/>
  <c r="AM19" i="73"/>
  <c r="AM18" i="73"/>
  <c r="AJ22" i="73"/>
  <c r="AJ20" i="73"/>
  <c r="AJ11" i="73"/>
  <c r="AG22" i="73"/>
  <c r="AG20" i="73"/>
  <c r="AG19" i="73"/>
  <c r="AG18" i="73"/>
  <c r="AD22" i="73"/>
  <c r="AD21" i="73"/>
  <c r="AD16" i="73"/>
  <c r="AD15" i="73"/>
  <c r="AA22" i="73"/>
  <c r="AA21" i="73"/>
  <c r="AA20" i="73"/>
  <c r="AA18" i="73"/>
  <c r="AA16" i="73"/>
  <c r="X22" i="73"/>
  <c r="X16" i="73"/>
  <c r="X15" i="73"/>
  <c r="X11" i="73"/>
  <c r="X10" i="73"/>
  <c r="U22" i="73"/>
  <c r="R22" i="73"/>
  <c r="O22" i="73"/>
  <c r="O16" i="73"/>
  <c r="L22" i="73"/>
  <c r="F22" i="73" s="1"/>
  <c r="H22" i="74" s="1"/>
  <c r="L16" i="73"/>
  <c r="L15" i="73"/>
  <c r="L11" i="73"/>
  <c r="I22" i="73"/>
  <c r="I18" i="73"/>
  <c r="I15" i="73"/>
  <c r="I14" i="73"/>
  <c r="I11" i="73"/>
  <c r="I10" i="73"/>
  <c r="E22" i="73"/>
  <c r="AN17" i="73"/>
  <c r="AK17" i="73"/>
  <c r="AH17" i="73"/>
  <c r="AE17" i="73"/>
  <c r="AB17" i="73"/>
  <c r="Y17" i="73"/>
  <c r="Y8" i="73" s="1"/>
  <c r="V17" i="73"/>
  <c r="S17" i="73"/>
  <c r="P17" i="73"/>
  <c r="M17" i="73"/>
  <c r="J17" i="73"/>
  <c r="AN9" i="73"/>
  <c r="AK9" i="73"/>
  <c r="AK8" i="73" s="1"/>
  <c r="AH9" i="73"/>
  <c r="AH8" i="73" s="1"/>
  <c r="AE9" i="73"/>
  <c r="AB9" i="73"/>
  <c r="Y9" i="73"/>
  <c r="V9" i="73"/>
  <c r="S9" i="73"/>
  <c r="P9" i="73"/>
  <c r="P8" i="73" s="1"/>
  <c r="M9" i="73"/>
  <c r="M8" i="73" s="1"/>
  <c r="M7" i="73" s="1"/>
  <c r="J9" i="73"/>
  <c r="AN8" i="73"/>
  <c r="AE8" i="73"/>
  <c r="V8" i="73"/>
  <c r="S8" i="73"/>
  <c r="J8" i="73"/>
  <c r="J7" i="73" s="1"/>
  <c r="O3" i="73"/>
  <c r="L3" i="73"/>
  <c r="I12" i="73" s="1"/>
  <c r="AM2" i="73"/>
  <c r="AJ2" i="73"/>
  <c r="AG2" i="73"/>
  <c r="AD2" i="73"/>
  <c r="AA2" i="73"/>
  <c r="X2" i="73"/>
  <c r="U2" i="73"/>
  <c r="R2" i="73"/>
  <c r="O2" i="73"/>
  <c r="L2" i="73"/>
  <c r="I2" i="73"/>
  <c r="AN21" i="69"/>
  <c r="AM21" i="69"/>
  <c r="AM21" i="73" s="1"/>
  <c r="AK21" i="69"/>
  <c r="AJ21" i="69"/>
  <c r="AJ21" i="73" s="1"/>
  <c r="AH21" i="69"/>
  <c r="AG21" i="69"/>
  <c r="AG21" i="73" s="1"/>
  <c r="AE21" i="69"/>
  <c r="AD21" i="69"/>
  <c r="AB21" i="69"/>
  <c r="AA21" i="69"/>
  <c r="Y21" i="69"/>
  <c r="X21" i="69"/>
  <c r="X21" i="73" s="1"/>
  <c r="V21" i="69"/>
  <c r="U21" i="69"/>
  <c r="U21" i="73" s="1"/>
  <c r="S21" i="69"/>
  <c r="R21" i="69"/>
  <c r="R21" i="73" s="1"/>
  <c r="P21" i="69"/>
  <c r="O21" i="69"/>
  <c r="O21" i="73" s="1"/>
  <c r="M21" i="69"/>
  <c r="L21" i="69"/>
  <c r="L21" i="73" s="1"/>
  <c r="AN20" i="69"/>
  <c r="AM20" i="69"/>
  <c r="AK20" i="69"/>
  <c r="AJ20" i="69"/>
  <c r="AH20" i="69"/>
  <c r="AH17" i="69" s="1"/>
  <c r="AG20" i="69"/>
  <c r="AE20" i="69"/>
  <c r="AD20" i="69"/>
  <c r="AD20" i="73" s="1"/>
  <c r="AB20" i="69"/>
  <c r="AA20" i="69"/>
  <c r="Y20" i="69"/>
  <c r="X20" i="69"/>
  <c r="V20" i="69"/>
  <c r="U20" i="69"/>
  <c r="S20" i="69"/>
  <c r="R20" i="69"/>
  <c r="P20" i="69"/>
  <c r="O20" i="69"/>
  <c r="O17" i="69" s="1"/>
  <c r="M20" i="69"/>
  <c r="L20" i="69"/>
  <c r="L20" i="73" s="1"/>
  <c r="AN19" i="69"/>
  <c r="AN17" i="69" s="1"/>
  <c r="AM19" i="69"/>
  <c r="AK19" i="69"/>
  <c r="AJ19" i="69"/>
  <c r="AJ19" i="73" s="1"/>
  <c r="AH19" i="69"/>
  <c r="AG19" i="69"/>
  <c r="AE19" i="69"/>
  <c r="AD19" i="69"/>
  <c r="AD19" i="73" s="1"/>
  <c r="AB19" i="69"/>
  <c r="AA19" i="69"/>
  <c r="AA19" i="73" s="1"/>
  <c r="Y19" i="69"/>
  <c r="X19" i="69"/>
  <c r="X17" i="69" s="1"/>
  <c r="V19" i="69"/>
  <c r="U19" i="69"/>
  <c r="S19" i="69"/>
  <c r="R19" i="69"/>
  <c r="P19" i="69"/>
  <c r="O19" i="69"/>
  <c r="O19" i="73" s="1"/>
  <c r="M19" i="69"/>
  <c r="L19" i="69"/>
  <c r="L19" i="73" s="1"/>
  <c r="AN18" i="69"/>
  <c r="AM18" i="69"/>
  <c r="AK18" i="69"/>
  <c r="AJ18" i="69"/>
  <c r="AH18" i="69"/>
  <c r="AG18" i="69"/>
  <c r="AE18" i="69"/>
  <c r="AE17" i="69" s="1"/>
  <c r="AD18" i="69"/>
  <c r="AD18" i="73" s="1"/>
  <c r="AB18" i="69"/>
  <c r="AB17" i="69" s="1"/>
  <c r="AA18" i="69"/>
  <c r="Y18" i="69"/>
  <c r="X18" i="69"/>
  <c r="X18" i="73" s="1"/>
  <c r="V18" i="69"/>
  <c r="U18" i="69"/>
  <c r="S18" i="69"/>
  <c r="R18" i="69"/>
  <c r="P18" i="69"/>
  <c r="P17" i="69" s="1"/>
  <c r="O18" i="69"/>
  <c r="M18" i="69"/>
  <c r="M17" i="69" s="1"/>
  <c r="L18" i="69"/>
  <c r="AM17" i="69"/>
  <c r="AM17" i="73" s="1"/>
  <c r="AK17" i="69"/>
  <c r="AG17" i="69"/>
  <c r="AG17" i="73" s="1"/>
  <c r="AA17" i="69"/>
  <c r="AA17" i="73" s="1"/>
  <c r="V17" i="69"/>
  <c r="U17" i="69"/>
  <c r="AN16" i="69"/>
  <c r="AM16" i="69"/>
  <c r="AM16" i="73" s="1"/>
  <c r="AK16" i="69"/>
  <c r="AJ16" i="69"/>
  <c r="AJ16" i="73" s="1"/>
  <c r="AH16" i="69"/>
  <c r="AG16" i="69"/>
  <c r="AG16" i="73" s="1"/>
  <c r="AE16" i="69"/>
  <c r="AD16" i="69"/>
  <c r="AB16" i="69"/>
  <c r="AA16" i="69"/>
  <c r="Y16" i="69"/>
  <c r="X16" i="69"/>
  <c r="V16" i="69"/>
  <c r="U16" i="69"/>
  <c r="U16" i="73" s="1"/>
  <c r="S16" i="69"/>
  <c r="R16" i="69"/>
  <c r="R16" i="73" s="1"/>
  <c r="P16" i="69"/>
  <c r="O16" i="69"/>
  <c r="M16" i="69"/>
  <c r="L16" i="69"/>
  <c r="AN15" i="69"/>
  <c r="AM15" i="69"/>
  <c r="AM15" i="73" s="1"/>
  <c r="AK15" i="69"/>
  <c r="AJ15" i="69"/>
  <c r="AH15" i="69"/>
  <c r="AG15" i="69"/>
  <c r="AE15" i="69"/>
  <c r="AD15" i="69"/>
  <c r="AB15" i="69"/>
  <c r="AA15" i="69"/>
  <c r="AA15" i="73" s="1"/>
  <c r="Y15" i="69"/>
  <c r="X15" i="69"/>
  <c r="V15" i="69"/>
  <c r="U15" i="69"/>
  <c r="U15" i="73" s="1"/>
  <c r="S15" i="69"/>
  <c r="R15" i="69"/>
  <c r="R15" i="73" s="1"/>
  <c r="P15" i="69"/>
  <c r="O15" i="69"/>
  <c r="O15" i="73" s="1"/>
  <c r="M15" i="69"/>
  <c r="L15" i="69"/>
  <c r="AN14" i="69"/>
  <c r="AM14" i="69"/>
  <c r="AM14" i="73" s="1"/>
  <c r="AK14" i="69"/>
  <c r="AJ14" i="69"/>
  <c r="AH14" i="69"/>
  <c r="AG14" i="69"/>
  <c r="AE14" i="69"/>
  <c r="AD14" i="69"/>
  <c r="AB14" i="69"/>
  <c r="AA14" i="69"/>
  <c r="Y14" i="69"/>
  <c r="X14" i="69"/>
  <c r="V14" i="69"/>
  <c r="U14" i="69"/>
  <c r="S14" i="69"/>
  <c r="R14" i="69"/>
  <c r="P14" i="69"/>
  <c r="O14" i="69"/>
  <c r="M14" i="69"/>
  <c r="L14" i="69"/>
  <c r="AN13" i="69"/>
  <c r="AM13" i="69"/>
  <c r="AM13" i="73" s="1"/>
  <c r="AK13" i="69"/>
  <c r="AJ13" i="69"/>
  <c r="AH13" i="69"/>
  <c r="AG13" i="69"/>
  <c r="AE13" i="69"/>
  <c r="AD13" i="69"/>
  <c r="AD9" i="69" s="1"/>
  <c r="AB13" i="69"/>
  <c r="AA13" i="69"/>
  <c r="Y13" i="69"/>
  <c r="X13" i="69"/>
  <c r="V13" i="69"/>
  <c r="U13" i="69"/>
  <c r="S13" i="69"/>
  <c r="R13" i="69"/>
  <c r="P13" i="69"/>
  <c r="O13" i="69"/>
  <c r="M13" i="69"/>
  <c r="L13" i="69"/>
  <c r="AN12" i="69"/>
  <c r="AM12" i="69"/>
  <c r="AM12" i="73" s="1"/>
  <c r="AK12" i="69"/>
  <c r="AJ12" i="69"/>
  <c r="AH12" i="69"/>
  <c r="AH9" i="69" s="1"/>
  <c r="AH8" i="69" s="1"/>
  <c r="AG12" i="69"/>
  <c r="AE12" i="69"/>
  <c r="AD12" i="69"/>
  <c r="AB12" i="69"/>
  <c r="AA12" i="69"/>
  <c r="Y12" i="69"/>
  <c r="X12" i="69"/>
  <c r="V12" i="69"/>
  <c r="U12" i="69"/>
  <c r="S12" i="69"/>
  <c r="R12" i="69"/>
  <c r="P12" i="69"/>
  <c r="O12" i="69"/>
  <c r="M12" i="69"/>
  <c r="L12" i="69"/>
  <c r="AN11" i="69"/>
  <c r="AM11" i="69"/>
  <c r="AM11" i="73" s="1"/>
  <c r="AK11" i="69"/>
  <c r="AJ11" i="69"/>
  <c r="AH11" i="69"/>
  <c r="AG11" i="69"/>
  <c r="AG11" i="73" s="1"/>
  <c r="AE11" i="69"/>
  <c r="AD11" i="69"/>
  <c r="AD11" i="73" s="1"/>
  <c r="AB11" i="69"/>
  <c r="AA11" i="69"/>
  <c r="AA11" i="73" s="1"/>
  <c r="Y11" i="69"/>
  <c r="X11" i="69"/>
  <c r="V11" i="69"/>
  <c r="U11" i="69"/>
  <c r="U11" i="73" s="1"/>
  <c r="S11" i="69"/>
  <c r="R11" i="69"/>
  <c r="R11" i="73" s="1"/>
  <c r="P11" i="69"/>
  <c r="O11" i="69"/>
  <c r="M11" i="69"/>
  <c r="L11" i="69"/>
  <c r="AN10" i="69"/>
  <c r="AM10" i="69"/>
  <c r="AK10" i="69"/>
  <c r="AJ10" i="69"/>
  <c r="AJ10" i="73" s="1"/>
  <c r="AH10" i="69"/>
  <c r="AG10" i="69"/>
  <c r="AE10" i="69"/>
  <c r="AD10" i="69"/>
  <c r="AD10" i="73" s="1"/>
  <c r="AB10" i="69"/>
  <c r="AB9" i="69" s="1"/>
  <c r="AB8" i="69" s="1"/>
  <c r="AA10" i="69"/>
  <c r="AA10" i="73" s="1"/>
  <c r="Y10" i="69"/>
  <c r="X10" i="69"/>
  <c r="V10" i="69"/>
  <c r="V9" i="69" s="1"/>
  <c r="V8" i="69" s="1"/>
  <c r="U10" i="69"/>
  <c r="U10" i="73" s="1"/>
  <c r="S10" i="69"/>
  <c r="S9" i="69" s="1"/>
  <c r="R10" i="69"/>
  <c r="R10" i="73" s="1"/>
  <c r="P10" i="69"/>
  <c r="O10" i="69"/>
  <c r="O10" i="73" s="1"/>
  <c r="M10" i="69"/>
  <c r="M9" i="69" s="1"/>
  <c r="M8" i="69" s="1"/>
  <c r="L10" i="69"/>
  <c r="AN9" i="69"/>
  <c r="AN8" i="69" s="1"/>
  <c r="AK9" i="69"/>
  <c r="AJ9" i="69"/>
  <c r="AE9" i="69"/>
  <c r="X9" i="69"/>
  <c r="R9" i="69"/>
  <c r="P9" i="69"/>
  <c r="P8" i="69" s="1"/>
  <c r="J21" i="69"/>
  <c r="J20" i="69"/>
  <c r="J19" i="69"/>
  <c r="J18" i="69"/>
  <c r="J16" i="69"/>
  <c r="J15" i="69"/>
  <c r="J14" i="69"/>
  <c r="J13" i="69"/>
  <c r="J12" i="69"/>
  <c r="J11" i="69"/>
  <c r="J10" i="69"/>
  <c r="I21" i="69"/>
  <c r="I20" i="69"/>
  <c r="I20" i="73" s="1"/>
  <c r="I19" i="69"/>
  <c r="I19" i="73" s="1"/>
  <c r="I18" i="69"/>
  <c r="I16" i="69"/>
  <c r="I15" i="69"/>
  <c r="I14" i="69"/>
  <c r="I13" i="69"/>
  <c r="I12" i="69"/>
  <c r="I11" i="69"/>
  <c r="I10" i="69"/>
  <c r="E22" i="72"/>
  <c r="G21" i="72"/>
  <c r="F21" i="72"/>
  <c r="G20" i="72"/>
  <c r="F20" i="72"/>
  <c r="G19" i="72"/>
  <c r="F19" i="72"/>
  <c r="G18" i="72"/>
  <c r="F18" i="72"/>
  <c r="AN17" i="72"/>
  <c r="AM17" i="72"/>
  <c r="AK17" i="72"/>
  <c r="AJ17" i="72"/>
  <c r="AH17" i="72"/>
  <c r="AG17" i="72"/>
  <c r="AE17" i="72"/>
  <c r="AD17" i="72"/>
  <c r="AB17" i="72"/>
  <c r="AA17" i="72"/>
  <c r="Y17" i="72"/>
  <c r="X17" i="72"/>
  <c r="V17" i="72"/>
  <c r="U17" i="72"/>
  <c r="U8" i="72" s="1"/>
  <c r="S17" i="72"/>
  <c r="R17" i="72"/>
  <c r="P17" i="72"/>
  <c r="O17" i="72"/>
  <c r="M17" i="72"/>
  <c r="L17" i="72"/>
  <c r="J17" i="72"/>
  <c r="I17" i="72"/>
  <c r="G16" i="72"/>
  <c r="F16" i="72"/>
  <c r="G15" i="72"/>
  <c r="F15" i="72"/>
  <c r="G14" i="72"/>
  <c r="F14" i="72"/>
  <c r="G13" i="72"/>
  <c r="F13" i="72"/>
  <c r="G12" i="72"/>
  <c r="F12" i="72"/>
  <c r="G11" i="72"/>
  <c r="F11" i="72"/>
  <c r="G10" i="72"/>
  <c r="F10" i="72"/>
  <c r="AN9" i="72"/>
  <c r="AM9" i="72"/>
  <c r="AK9" i="72"/>
  <c r="AJ9" i="72"/>
  <c r="AJ8" i="72" s="1"/>
  <c r="AH9" i="72"/>
  <c r="AG9" i="72"/>
  <c r="AG8" i="72" s="1"/>
  <c r="AE9" i="72"/>
  <c r="AE8" i="72" s="1"/>
  <c r="AD9" i="72"/>
  <c r="AD8" i="72" s="1"/>
  <c r="AB9" i="72"/>
  <c r="AB8" i="72" s="1"/>
  <c r="AA9" i="72"/>
  <c r="AA8" i="72" s="1"/>
  <c r="Y9" i="72"/>
  <c r="X9" i="72"/>
  <c r="V9" i="72"/>
  <c r="U9" i="72"/>
  <c r="S9" i="72"/>
  <c r="R9" i="72"/>
  <c r="R8" i="72" s="1"/>
  <c r="P9" i="72"/>
  <c r="O9" i="72"/>
  <c r="M9" i="72"/>
  <c r="L9" i="72"/>
  <c r="L8" i="72" s="1"/>
  <c r="J9" i="72"/>
  <c r="J8" i="72" s="1"/>
  <c r="J7" i="72" s="1"/>
  <c r="I9" i="72"/>
  <c r="I8" i="72" s="1"/>
  <c r="I7" i="72" s="1"/>
  <c r="G9" i="72"/>
  <c r="AN8" i="72"/>
  <c r="AM8" i="72"/>
  <c r="AH8" i="72"/>
  <c r="Y8" i="72"/>
  <c r="X8" i="72"/>
  <c r="S8" i="72"/>
  <c r="P8" i="72"/>
  <c r="O8" i="72"/>
  <c r="U3" i="72"/>
  <c r="X3" i="72" s="1"/>
  <c r="AA3" i="72" s="1"/>
  <c r="AD3" i="72" s="1"/>
  <c r="AG3" i="72" s="1"/>
  <c r="AJ3" i="72" s="1"/>
  <c r="AM3" i="72" s="1"/>
  <c r="L3" i="72"/>
  <c r="O3" i="72" s="1"/>
  <c r="R3" i="72" s="1"/>
  <c r="AM2" i="72"/>
  <c r="AJ2" i="72"/>
  <c r="AG2" i="72"/>
  <c r="AD2" i="72"/>
  <c r="AA2" i="72"/>
  <c r="X2" i="72"/>
  <c r="U2" i="72"/>
  <c r="R2" i="72"/>
  <c r="O2" i="72"/>
  <c r="L2" i="72"/>
  <c r="I2" i="72"/>
  <c r="E22" i="71"/>
  <c r="G21" i="71"/>
  <c r="F21" i="71"/>
  <c r="G20" i="71"/>
  <c r="G17" i="71" s="1"/>
  <c r="F20" i="71"/>
  <c r="G19" i="71"/>
  <c r="F19" i="71"/>
  <c r="F17" i="71" s="1"/>
  <c r="G18" i="71"/>
  <c r="F18" i="71"/>
  <c r="AN17" i="71"/>
  <c r="AM17" i="71"/>
  <c r="AK17" i="71"/>
  <c r="AJ17" i="71"/>
  <c r="AH17" i="71"/>
  <c r="AG17" i="71"/>
  <c r="AG8" i="71" s="1"/>
  <c r="AE17" i="71"/>
  <c r="AD17" i="71"/>
  <c r="AB17" i="71"/>
  <c r="AA17" i="71"/>
  <c r="Y17" i="71"/>
  <c r="X17" i="71"/>
  <c r="V17" i="71"/>
  <c r="U17" i="71"/>
  <c r="S17" i="71"/>
  <c r="R17" i="71"/>
  <c r="P17" i="71"/>
  <c r="O17" i="71"/>
  <c r="M17" i="71"/>
  <c r="L17" i="71"/>
  <c r="L8" i="71" s="1"/>
  <c r="L7" i="71" s="1"/>
  <c r="J17" i="71"/>
  <c r="I17" i="71"/>
  <c r="I8" i="71" s="1"/>
  <c r="I7" i="71" s="1"/>
  <c r="G16" i="71"/>
  <c r="F16" i="71"/>
  <c r="G15" i="71"/>
  <c r="F15" i="71"/>
  <c r="G14" i="71"/>
  <c r="F14" i="71"/>
  <c r="G13" i="71"/>
  <c r="F13" i="71"/>
  <c r="G12" i="71"/>
  <c r="F12" i="71"/>
  <c r="G11" i="71"/>
  <c r="F11" i="71"/>
  <c r="G10" i="71"/>
  <c r="G9" i="71" s="1"/>
  <c r="F10" i="71"/>
  <c r="F9" i="71" s="1"/>
  <c r="F8" i="71" s="1"/>
  <c r="AN9" i="71"/>
  <c r="AN8" i="71" s="1"/>
  <c r="AM9" i="71"/>
  <c r="AK9" i="71"/>
  <c r="AJ9" i="71"/>
  <c r="AH9" i="71"/>
  <c r="AG9" i="71"/>
  <c r="AE9" i="71"/>
  <c r="AD9" i="71"/>
  <c r="AD8" i="71" s="1"/>
  <c r="AB9" i="71"/>
  <c r="AA9" i="71"/>
  <c r="Y9" i="71"/>
  <c r="X9" i="71"/>
  <c r="X8" i="71" s="1"/>
  <c r="V9" i="71"/>
  <c r="U9" i="71"/>
  <c r="U8" i="71" s="1"/>
  <c r="S9" i="71"/>
  <c r="S8" i="71" s="1"/>
  <c r="R9" i="71"/>
  <c r="R8" i="71" s="1"/>
  <c r="P9" i="71"/>
  <c r="P8" i="71" s="1"/>
  <c r="O9" i="71"/>
  <c r="M9" i="71"/>
  <c r="M8" i="71" s="1"/>
  <c r="L9" i="71"/>
  <c r="J9" i="71"/>
  <c r="I9" i="71"/>
  <c r="AK8" i="71"/>
  <c r="AJ8" i="71"/>
  <c r="AE8" i="71"/>
  <c r="AB8" i="71"/>
  <c r="AA8" i="71"/>
  <c r="V8" i="71"/>
  <c r="O3" i="71"/>
  <c r="R3" i="71" s="1"/>
  <c r="U3" i="71" s="1"/>
  <c r="X3" i="71" s="1"/>
  <c r="AA3" i="71" s="1"/>
  <c r="AD3" i="71" s="1"/>
  <c r="AG3" i="71" s="1"/>
  <c r="AJ3" i="71" s="1"/>
  <c r="AM3" i="71" s="1"/>
  <c r="L3" i="71"/>
  <c r="AM2" i="71"/>
  <c r="AJ2" i="71"/>
  <c r="AG2" i="71"/>
  <c r="AD2" i="71"/>
  <c r="AA2" i="71"/>
  <c r="X2" i="71"/>
  <c r="U2" i="71"/>
  <c r="R2" i="71"/>
  <c r="O2" i="71"/>
  <c r="L2" i="71"/>
  <c r="I2" i="71"/>
  <c r="E22" i="70"/>
  <c r="G21" i="70"/>
  <c r="F21" i="70"/>
  <c r="G20" i="70"/>
  <c r="F20" i="70"/>
  <c r="G19" i="70"/>
  <c r="F19" i="70"/>
  <c r="G18" i="70"/>
  <c r="G17" i="70" s="1"/>
  <c r="F18" i="70"/>
  <c r="F17" i="70" s="1"/>
  <c r="AN17" i="70"/>
  <c r="AM17" i="70"/>
  <c r="AK17" i="70"/>
  <c r="AJ17" i="70"/>
  <c r="AH17" i="70"/>
  <c r="AG17" i="70"/>
  <c r="AE17" i="70"/>
  <c r="AD17" i="70"/>
  <c r="AB17" i="70"/>
  <c r="AA17" i="70"/>
  <c r="Y17" i="70"/>
  <c r="X17" i="70"/>
  <c r="V17" i="70"/>
  <c r="U17" i="70"/>
  <c r="S17" i="70"/>
  <c r="S8" i="70" s="1"/>
  <c r="R17" i="70"/>
  <c r="P17" i="70"/>
  <c r="O17" i="70"/>
  <c r="M17" i="70"/>
  <c r="L17" i="70"/>
  <c r="J17" i="70"/>
  <c r="I17" i="70"/>
  <c r="G16" i="70"/>
  <c r="F16" i="70"/>
  <c r="G15" i="70"/>
  <c r="F15" i="70"/>
  <c r="G14" i="70"/>
  <c r="F14" i="70"/>
  <c r="G13" i="70"/>
  <c r="F13" i="70"/>
  <c r="G12" i="70"/>
  <c r="F12" i="70"/>
  <c r="G11" i="70"/>
  <c r="F11" i="70"/>
  <c r="G10" i="70"/>
  <c r="F10" i="70"/>
  <c r="F9" i="70" s="1"/>
  <c r="F8" i="70" s="1"/>
  <c r="AN9" i="70"/>
  <c r="AM9" i="70"/>
  <c r="AK9" i="70"/>
  <c r="AJ9" i="70"/>
  <c r="AJ8" i="70" s="1"/>
  <c r="AH9" i="70"/>
  <c r="AG9" i="70"/>
  <c r="AE9" i="70"/>
  <c r="AE8" i="70" s="1"/>
  <c r="AD9" i="70"/>
  <c r="AB9" i="70"/>
  <c r="AA9" i="70"/>
  <c r="AA8" i="70" s="1"/>
  <c r="Y9" i="70"/>
  <c r="X9" i="70"/>
  <c r="V9" i="70"/>
  <c r="V8" i="70" s="1"/>
  <c r="U9" i="70"/>
  <c r="S9" i="70"/>
  <c r="R9" i="70"/>
  <c r="R8" i="70" s="1"/>
  <c r="P9" i="70"/>
  <c r="O9" i="70"/>
  <c r="M9" i="70"/>
  <c r="L9" i="70"/>
  <c r="L8" i="70" s="1"/>
  <c r="L7" i="70" s="1"/>
  <c r="J9" i="70"/>
  <c r="I9" i="70"/>
  <c r="I8" i="70" s="1"/>
  <c r="AN8" i="70"/>
  <c r="AM8" i="70"/>
  <c r="AH8" i="70"/>
  <c r="AD8" i="70"/>
  <c r="Y8" i="70"/>
  <c r="X8" i="70"/>
  <c r="U8" i="70"/>
  <c r="P8" i="70"/>
  <c r="O8" i="70"/>
  <c r="J8" i="70"/>
  <c r="J7" i="70" s="1"/>
  <c r="I7" i="70"/>
  <c r="U3" i="70"/>
  <c r="X3" i="70" s="1"/>
  <c r="AA3" i="70" s="1"/>
  <c r="AD3" i="70" s="1"/>
  <c r="AG3" i="70" s="1"/>
  <c r="AJ3" i="70" s="1"/>
  <c r="AM3" i="70" s="1"/>
  <c r="L3" i="70"/>
  <c r="O3" i="70" s="1"/>
  <c r="R3" i="70" s="1"/>
  <c r="AM2" i="70"/>
  <c r="AJ2" i="70"/>
  <c r="AG2" i="70"/>
  <c r="AD2" i="70"/>
  <c r="AA2" i="70"/>
  <c r="X2" i="70"/>
  <c r="U2" i="70"/>
  <c r="R2" i="70"/>
  <c r="O2" i="70"/>
  <c r="L2" i="70"/>
  <c r="I2" i="70"/>
  <c r="Z19" i="69"/>
  <c r="AC19" i="69" s="1"/>
  <c r="AF19" i="69" s="1"/>
  <c r="AI19" i="69" s="1"/>
  <c r="AL19" i="69" s="1"/>
  <c r="AO19" i="69" s="1"/>
  <c r="H19" i="69" s="1"/>
  <c r="W19" i="69"/>
  <c r="Q19" i="69"/>
  <c r="T19" i="69" s="1"/>
  <c r="W18" i="69"/>
  <c r="Z18" i="69" s="1"/>
  <c r="AC18" i="69" s="1"/>
  <c r="AF18" i="69" s="1"/>
  <c r="AI18" i="69" s="1"/>
  <c r="AL18" i="69" s="1"/>
  <c r="AO18" i="69" s="1"/>
  <c r="H18" i="69" s="1"/>
  <c r="T15" i="69"/>
  <c r="W15" i="69" s="1"/>
  <c r="Z15" i="69" s="1"/>
  <c r="AC15" i="69" s="1"/>
  <c r="T14" i="69"/>
  <c r="Q14" i="69"/>
  <c r="Q13" i="69"/>
  <c r="T13" i="69" s="1"/>
  <c r="W13" i="69" s="1"/>
  <c r="Z13" i="69" s="1"/>
  <c r="AC13" i="69" s="1"/>
  <c r="AF13" i="69" s="1"/>
  <c r="AI13" i="69" s="1"/>
  <c r="AL13" i="69" s="1"/>
  <c r="AO13" i="69" s="1"/>
  <c r="H13" i="69" s="1"/>
  <c r="Q12" i="69"/>
  <c r="T12" i="69" s="1"/>
  <c r="W12" i="69" s="1"/>
  <c r="T11" i="69"/>
  <c r="W11" i="69" s="1"/>
  <c r="R3" i="69"/>
  <c r="F1" i="80" s="1"/>
  <c r="O3" i="69"/>
  <c r="E1" i="80" s="1"/>
  <c r="AM2" i="69"/>
  <c r="AJ2" i="69"/>
  <c r="AG2" i="69"/>
  <c r="AD2" i="69"/>
  <c r="AA2" i="69"/>
  <c r="X2" i="69"/>
  <c r="U2" i="69"/>
  <c r="R2" i="69"/>
  <c r="O2" i="69"/>
  <c r="N21" i="69"/>
  <c r="Q21" i="69" s="1"/>
  <c r="T21" i="69" s="1"/>
  <c r="W21" i="69" s="1"/>
  <c r="Z21" i="69" s="1"/>
  <c r="AC21" i="69" s="1"/>
  <c r="AF21" i="69" s="1"/>
  <c r="AI21" i="69" s="1"/>
  <c r="AL21" i="69" s="1"/>
  <c r="AO21" i="69" s="1"/>
  <c r="H21" i="69" s="1"/>
  <c r="N20" i="69"/>
  <c r="Q20" i="69" s="1"/>
  <c r="N19" i="69"/>
  <c r="N18" i="69"/>
  <c r="Q18" i="69" s="1"/>
  <c r="T18" i="69" s="1"/>
  <c r="N16" i="69"/>
  <c r="Q16" i="69" s="1"/>
  <c r="N15" i="69"/>
  <c r="Q15" i="69" s="1"/>
  <c r="N14" i="69"/>
  <c r="N13" i="69"/>
  <c r="N12" i="69"/>
  <c r="N11" i="69"/>
  <c r="Q11" i="69" s="1"/>
  <c r="Q10" i="69"/>
  <c r="T10" i="69" s="1"/>
  <c r="W10" i="69" s="1"/>
  <c r="I17" i="69"/>
  <c r="I17" i="73" s="1"/>
  <c r="L3" i="69"/>
  <c r="D1" i="80" s="1"/>
  <c r="L2" i="69"/>
  <c r="I2" i="69"/>
  <c r="E22" i="69"/>
  <c r="F10" i="68"/>
  <c r="G10" i="68"/>
  <c r="F9" i="72" l="1"/>
  <c r="G8" i="71"/>
  <c r="G9" i="70"/>
  <c r="G8" i="70" s="1"/>
  <c r="J9" i="69"/>
  <c r="O12" i="73"/>
  <c r="T16" i="69"/>
  <c r="W16" i="69" s="1"/>
  <c r="Z16" i="69" s="1"/>
  <c r="AC16" i="69" s="1"/>
  <c r="AF16" i="69" s="1"/>
  <c r="AI16" i="69" s="1"/>
  <c r="AL16" i="69" s="1"/>
  <c r="AO16" i="69" s="1"/>
  <c r="H16" i="69" s="1"/>
  <c r="F16" i="69"/>
  <c r="Z12" i="69"/>
  <c r="AC12" i="69" s="1"/>
  <c r="AF12" i="69" s="1"/>
  <c r="AI12" i="69" s="1"/>
  <c r="AL12" i="69" s="1"/>
  <c r="AO12" i="69" s="1"/>
  <c r="H12" i="69" s="1"/>
  <c r="Z11" i="69"/>
  <c r="AC11" i="69" s="1"/>
  <c r="AF11" i="69" s="1"/>
  <c r="AI11" i="69" s="1"/>
  <c r="AL11" i="69" s="1"/>
  <c r="AO11" i="69" s="1"/>
  <c r="H11" i="69" s="1"/>
  <c r="F11" i="69"/>
  <c r="T20" i="69"/>
  <c r="W20" i="69" s="1"/>
  <c r="Z20" i="69" s="1"/>
  <c r="AC20" i="69" s="1"/>
  <c r="AF20" i="69" s="1"/>
  <c r="AI20" i="69" s="1"/>
  <c r="AL20" i="69" s="1"/>
  <c r="AO20" i="69" s="1"/>
  <c r="H20" i="69" s="1"/>
  <c r="F20" i="69"/>
  <c r="J8" i="69"/>
  <c r="J7" i="69" s="1"/>
  <c r="C4" i="80" s="1"/>
  <c r="S7" i="73"/>
  <c r="V7" i="73" s="1"/>
  <c r="Y7" i="73" s="1"/>
  <c r="Z10" i="69"/>
  <c r="AC10" i="69" s="1"/>
  <c r="AF10" i="69" s="1"/>
  <c r="AI10" i="69" s="1"/>
  <c r="AL10" i="69" s="1"/>
  <c r="AO10" i="69" s="1"/>
  <c r="H10" i="69" s="1"/>
  <c r="AF15" i="69"/>
  <c r="AI15" i="69" s="1"/>
  <c r="AL15" i="69" s="1"/>
  <c r="AO15" i="69" s="1"/>
  <c r="H15" i="69" s="1"/>
  <c r="R7" i="71"/>
  <c r="U7" i="71" s="1"/>
  <c r="X7" i="71" s="1"/>
  <c r="AA7" i="71" s="1"/>
  <c r="AD7" i="71" s="1"/>
  <c r="AG7" i="71" s="1"/>
  <c r="AJ7" i="71" s="1"/>
  <c r="G14" i="69"/>
  <c r="I14" i="77" s="1"/>
  <c r="L7" i="72"/>
  <c r="L13" i="73"/>
  <c r="R3" i="73"/>
  <c r="F19" i="69"/>
  <c r="J17" i="69"/>
  <c r="O9" i="69"/>
  <c r="O11" i="73"/>
  <c r="F11" i="73" s="1"/>
  <c r="H11" i="74" s="1"/>
  <c r="F9" i="81"/>
  <c r="E9" i="81"/>
  <c r="F8" i="81"/>
  <c r="E8" i="81"/>
  <c r="G8" i="81" s="1"/>
  <c r="O8" i="71"/>
  <c r="O7" i="71" s="1"/>
  <c r="AM8" i="71"/>
  <c r="I16" i="73"/>
  <c r="G16" i="69"/>
  <c r="I16" i="77" s="1"/>
  <c r="G18" i="69"/>
  <c r="AJ17" i="69"/>
  <c r="AJ17" i="73" s="1"/>
  <c r="U9" i="69"/>
  <c r="L12" i="73"/>
  <c r="AJ18" i="73"/>
  <c r="G21" i="69"/>
  <c r="I21" i="77" s="1"/>
  <c r="X8" i="69"/>
  <c r="O18" i="73"/>
  <c r="P7" i="73"/>
  <c r="O7" i="72"/>
  <c r="R7" i="72" s="1"/>
  <c r="U7" i="72" s="1"/>
  <c r="X7" i="72" s="1"/>
  <c r="AA7" i="72" s="1"/>
  <c r="AD7" i="72" s="1"/>
  <c r="AG7" i="72" s="1"/>
  <c r="AJ7" i="72" s="1"/>
  <c r="AM7" i="72" s="1"/>
  <c r="M8" i="72"/>
  <c r="M7" i="72" s="1"/>
  <c r="P7" i="72" s="1"/>
  <c r="S7" i="72" s="1"/>
  <c r="AK8" i="72"/>
  <c r="AA9" i="69"/>
  <c r="G19" i="69"/>
  <c r="I19" i="77" s="1"/>
  <c r="AE8" i="69"/>
  <c r="R17" i="69"/>
  <c r="AB8" i="73"/>
  <c r="AB8" i="70"/>
  <c r="Y8" i="71"/>
  <c r="S17" i="69"/>
  <c r="S8" i="69" s="1"/>
  <c r="I21" i="73"/>
  <c r="X19" i="73"/>
  <c r="AG8" i="70"/>
  <c r="AJ8" i="69"/>
  <c r="Y9" i="69"/>
  <c r="L18" i="73"/>
  <c r="L17" i="69"/>
  <c r="L17" i="73" s="1"/>
  <c r="AK8" i="69"/>
  <c r="AG9" i="69"/>
  <c r="O13" i="73"/>
  <c r="L10" i="73"/>
  <c r="F10" i="73" s="1"/>
  <c r="H10" i="74" s="1"/>
  <c r="AG10" i="73"/>
  <c r="G10" i="73" s="1"/>
  <c r="D10" i="81"/>
  <c r="G10" i="81" s="1"/>
  <c r="W14" i="69"/>
  <c r="Z14" i="69" s="1"/>
  <c r="AC14" i="69" s="1"/>
  <c r="AF14" i="69" s="1"/>
  <c r="AI14" i="69" s="1"/>
  <c r="AL14" i="69" s="1"/>
  <c r="AO14" i="69" s="1"/>
  <c r="H14" i="69" s="1"/>
  <c r="O7" i="70"/>
  <c r="R7" i="70" s="1"/>
  <c r="U7" i="70" s="1"/>
  <c r="X7" i="70" s="1"/>
  <c r="AA7" i="70" s="1"/>
  <c r="AD7" i="70" s="1"/>
  <c r="P7" i="70"/>
  <c r="S7" i="70" s="1"/>
  <c r="V7" i="70" s="1"/>
  <c r="Y7" i="70" s="1"/>
  <c r="AK8" i="70"/>
  <c r="V8" i="72"/>
  <c r="L14" i="73"/>
  <c r="Y17" i="69"/>
  <c r="U3" i="69"/>
  <c r="M8" i="70"/>
  <c r="M7" i="70" s="1"/>
  <c r="F17" i="72"/>
  <c r="F8" i="72" s="1"/>
  <c r="F14" i="69"/>
  <c r="G16" i="81"/>
  <c r="I9" i="69"/>
  <c r="F15" i="69"/>
  <c r="F21" i="69"/>
  <c r="J8" i="71"/>
  <c r="J7" i="71" s="1"/>
  <c r="M7" i="71" s="1"/>
  <c r="P7" i="71" s="1"/>
  <c r="S7" i="71" s="1"/>
  <c r="V7" i="71" s="1"/>
  <c r="AH8" i="71"/>
  <c r="G17" i="72"/>
  <c r="G8" i="72" s="1"/>
  <c r="G13" i="69"/>
  <c r="I13" i="77" s="1"/>
  <c r="F13" i="69"/>
  <c r="I13" i="73"/>
  <c r="AM9" i="69"/>
  <c r="O14" i="73"/>
  <c r="AD17" i="69"/>
  <c r="E17" i="81"/>
  <c r="G17" i="81" s="1"/>
  <c r="L9" i="69"/>
  <c r="G11" i="73"/>
  <c r="D15" i="81"/>
  <c r="G15" i="81" s="1"/>
  <c r="F17" i="81"/>
  <c r="E20" i="81"/>
  <c r="G20" i="81" s="1"/>
  <c r="E11" i="81"/>
  <c r="G11" i="81" s="1"/>
  <c r="F20" i="81"/>
  <c r="D9" i="81"/>
  <c r="G9" i="81" s="1"/>
  <c r="F11" i="81"/>
  <c r="E18" i="81"/>
  <c r="G18" i="81" s="1"/>
  <c r="F18" i="69"/>
  <c r="AM10" i="73"/>
  <c r="D14" i="81"/>
  <c r="G14" i="81" s="1"/>
  <c r="D21" i="81"/>
  <c r="G21" i="81" s="1"/>
  <c r="D19" i="81"/>
  <c r="G19" i="81" s="1"/>
  <c r="G17" i="68"/>
  <c r="F17" i="68"/>
  <c r="G16" i="68"/>
  <c r="F16" i="68"/>
  <c r="H12" i="68"/>
  <c r="G12" i="68"/>
  <c r="F12" i="68"/>
  <c r="E12" i="68" s="1"/>
  <c r="Q11" i="68"/>
  <c r="H11" i="68"/>
  <c r="G11" i="68"/>
  <c r="F11" i="68"/>
  <c r="E11" i="68" s="1"/>
  <c r="H10" i="68"/>
  <c r="E10" i="68"/>
  <c r="P9" i="68"/>
  <c r="P8" i="68" s="1"/>
  <c r="O9" i="68"/>
  <c r="O8" i="68" s="1"/>
  <c r="M9" i="68"/>
  <c r="M8" i="68" s="1"/>
  <c r="L9" i="68"/>
  <c r="L8" i="68" s="1"/>
  <c r="J9" i="68"/>
  <c r="J8" i="68" s="1"/>
  <c r="J7" i="68" s="1"/>
  <c r="I9" i="68"/>
  <c r="I8" i="68" s="1"/>
  <c r="I7" i="68" s="1"/>
  <c r="I3" i="68"/>
  <c r="L3" i="68" s="1"/>
  <c r="O3" i="68" s="1"/>
  <c r="O2" i="68"/>
  <c r="L2" i="68"/>
  <c r="I2" i="68"/>
  <c r="G1" i="80" l="1"/>
  <c r="X3" i="69"/>
  <c r="Y7" i="71"/>
  <c r="AB7" i="71" s="1"/>
  <c r="AE7" i="71" s="1"/>
  <c r="AH7" i="71" s="1"/>
  <c r="AK7" i="71" s="1"/>
  <c r="AN7" i="71" s="1"/>
  <c r="E16" i="74"/>
  <c r="E16" i="75"/>
  <c r="E48" i="79"/>
  <c r="E16" i="76"/>
  <c r="E16" i="71"/>
  <c r="G16" i="77"/>
  <c r="H49" i="79" s="1"/>
  <c r="H48" i="79" s="1"/>
  <c r="E16" i="78"/>
  <c r="E16" i="72"/>
  <c r="E16" i="69"/>
  <c r="E16" i="70"/>
  <c r="E16" i="77"/>
  <c r="E16" i="73"/>
  <c r="L9" i="73"/>
  <c r="L8" i="69"/>
  <c r="AB7" i="70"/>
  <c r="AE7" i="70" s="1"/>
  <c r="AH7" i="70" s="1"/>
  <c r="AK7" i="70" s="1"/>
  <c r="AN7" i="70" s="1"/>
  <c r="U8" i="69"/>
  <c r="Y8" i="69"/>
  <c r="M7" i="69"/>
  <c r="E15" i="74"/>
  <c r="E15" i="75"/>
  <c r="E15" i="77"/>
  <c r="G15" i="77"/>
  <c r="H44" i="79" s="1"/>
  <c r="H43" i="79" s="1"/>
  <c r="E15" i="73"/>
  <c r="E15" i="72"/>
  <c r="E15" i="70"/>
  <c r="E15" i="78"/>
  <c r="E15" i="69"/>
  <c r="E15" i="71"/>
  <c r="E43" i="79"/>
  <c r="E15" i="76"/>
  <c r="AB7" i="73"/>
  <c r="AE7" i="73" s="1"/>
  <c r="AH7" i="73" s="1"/>
  <c r="AK7" i="73" s="1"/>
  <c r="AN7" i="73" s="1"/>
  <c r="J34" i="79"/>
  <c r="J33" i="79" s="1"/>
  <c r="E21" i="77"/>
  <c r="E21" i="73"/>
  <c r="G21" i="77"/>
  <c r="H74" i="79" s="1"/>
  <c r="H73" i="79" s="1"/>
  <c r="E21" i="78"/>
  <c r="E21" i="72"/>
  <c r="E21" i="70"/>
  <c r="E21" i="75"/>
  <c r="E21" i="74"/>
  <c r="E21" i="69"/>
  <c r="E73" i="79"/>
  <c r="E21" i="71"/>
  <c r="E21" i="76"/>
  <c r="V7" i="72"/>
  <c r="Y7" i="72" s="1"/>
  <c r="AB7" i="72" s="1"/>
  <c r="AE7" i="72" s="1"/>
  <c r="AH7" i="72" s="1"/>
  <c r="AK7" i="72" s="1"/>
  <c r="AN7" i="72" s="1"/>
  <c r="R8" i="69"/>
  <c r="E68" i="79"/>
  <c r="E20" i="76"/>
  <c r="E20" i="71"/>
  <c r="G20" i="77"/>
  <c r="H69" i="79" s="1"/>
  <c r="H68" i="79" s="1"/>
  <c r="E20" i="77"/>
  <c r="E20" i="72"/>
  <c r="E20" i="74"/>
  <c r="E20" i="75"/>
  <c r="E20" i="69"/>
  <c r="E20" i="78"/>
  <c r="E20" i="73"/>
  <c r="E20" i="70"/>
  <c r="AG7" i="70"/>
  <c r="AJ7" i="70" s="1"/>
  <c r="AM7" i="70" s="1"/>
  <c r="AD8" i="69"/>
  <c r="AD17" i="73"/>
  <c r="F10" i="69"/>
  <c r="I18" i="77"/>
  <c r="O9" i="73"/>
  <c r="O8" i="69"/>
  <c r="G15" i="69"/>
  <c r="I15" i="77" s="1"/>
  <c r="G20" i="69"/>
  <c r="I20" i="77" s="1"/>
  <c r="J64" i="79"/>
  <c r="J63" i="79" s="1"/>
  <c r="J19" i="77"/>
  <c r="K64" i="79" s="1"/>
  <c r="K63" i="79" s="1"/>
  <c r="I9" i="73"/>
  <c r="I8" i="69"/>
  <c r="J21" i="77"/>
  <c r="K74" i="79" s="1"/>
  <c r="K73" i="79" s="1"/>
  <c r="J74" i="79"/>
  <c r="J73" i="79" s="1"/>
  <c r="E63" i="79"/>
  <c r="E19" i="76"/>
  <c r="E19" i="71"/>
  <c r="E19" i="77"/>
  <c r="G19" i="77"/>
  <c r="H64" i="79" s="1"/>
  <c r="H63" i="79" s="1"/>
  <c r="E19" i="73"/>
  <c r="E19" i="78"/>
  <c r="E19" i="74"/>
  <c r="E19" i="69"/>
  <c r="E19" i="72"/>
  <c r="E19" i="75"/>
  <c r="E19" i="70"/>
  <c r="E11" i="72"/>
  <c r="E11" i="70"/>
  <c r="E11" i="75"/>
  <c r="E23" i="79"/>
  <c r="E11" i="76"/>
  <c r="E11" i="78"/>
  <c r="E11" i="71"/>
  <c r="E11" i="73"/>
  <c r="G11" i="77"/>
  <c r="H24" i="79" s="1"/>
  <c r="H23" i="79" s="1"/>
  <c r="E11" i="69"/>
  <c r="E11" i="77"/>
  <c r="E11" i="74"/>
  <c r="J49" i="79"/>
  <c r="J48" i="79" s="1"/>
  <c r="J16" i="77"/>
  <c r="K49" i="79" s="1"/>
  <c r="K48" i="79" s="1"/>
  <c r="J39" i="79"/>
  <c r="J38" i="79" s="1"/>
  <c r="E18" i="75"/>
  <c r="E18" i="76"/>
  <c r="E58" i="79"/>
  <c r="E18" i="77"/>
  <c r="G18" i="77"/>
  <c r="H59" i="79" s="1"/>
  <c r="H58" i="79" s="1"/>
  <c r="E18" i="78"/>
  <c r="E18" i="74"/>
  <c r="E18" i="69"/>
  <c r="E18" i="70"/>
  <c r="E18" i="73"/>
  <c r="F17" i="69"/>
  <c r="Q17" i="69" s="1"/>
  <c r="N17" i="69"/>
  <c r="E18" i="72"/>
  <c r="E18" i="71"/>
  <c r="G16" i="73"/>
  <c r="F16" i="73"/>
  <c r="H16" i="74" s="1"/>
  <c r="AA8" i="69"/>
  <c r="AM7" i="71"/>
  <c r="U3" i="73"/>
  <c r="O17" i="73"/>
  <c r="O20" i="73"/>
  <c r="F21" i="73"/>
  <c r="H21" i="74" s="1"/>
  <c r="G21" i="73"/>
  <c r="AM8" i="69"/>
  <c r="AM9" i="73"/>
  <c r="E14" i="74"/>
  <c r="E14" i="75"/>
  <c r="E38" i="79"/>
  <c r="E14" i="76"/>
  <c r="E14" i="77"/>
  <c r="G14" i="77"/>
  <c r="H39" i="79" s="1"/>
  <c r="H38" i="79" s="1"/>
  <c r="E14" i="73"/>
  <c r="E14" i="72"/>
  <c r="E14" i="70"/>
  <c r="E14" i="78"/>
  <c r="E14" i="69"/>
  <c r="E14" i="71"/>
  <c r="AG8" i="69"/>
  <c r="E13" i="69"/>
  <c r="E13" i="74"/>
  <c r="E33" i="79"/>
  <c r="E13" i="76"/>
  <c r="E13" i="71"/>
  <c r="E13" i="77"/>
  <c r="G13" i="77"/>
  <c r="H34" i="79" s="1"/>
  <c r="H33" i="79" s="1"/>
  <c r="E13" i="78"/>
  <c r="E13" i="73"/>
  <c r="E13" i="70"/>
  <c r="E13" i="72"/>
  <c r="E13" i="75"/>
  <c r="G12" i="69"/>
  <c r="I12" i="77" s="1"/>
  <c r="G10" i="69"/>
  <c r="F12" i="69"/>
  <c r="G11" i="69"/>
  <c r="I11" i="77" s="1"/>
  <c r="L7" i="68"/>
  <c r="M7" i="68"/>
  <c r="F9" i="68"/>
  <c r="G9" i="68"/>
  <c r="G8" i="68" s="1"/>
  <c r="I10" i="77" l="1"/>
  <c r="G9" i="69"/>
  <c r="J29" i="79"/>
  <c r="J28" i="79" s="1"/>
  <c r="R8" i="73"/>
  <c r="J13" i="77"/>
  <c r="K34" i="79" s="1"/>
  <c r="K33" i="79" s="1"/>
  <c r="X3" i="73"/>
  <c r="R14" i="73"/>
  <c r="R13" i="73"/>
  <c r="R12" i="73"/>
  <c r="R19" i="73"/>
  <c r="R18" i="73"/>
  <c r="R20" i="73"/>
  <c r="R9" i="73"/>
  <c r="E17" i="75"/>
  <c r="E53" i="79"/>
  <c r="E17" i="76"/>
  <c r="E17" i="73"/>
  <c r="E17" i="71"/>
  <c r="E17" i="77"/>
  <c r="E17" i="78"/>
  <c r="E17" i="70"/>
  <c r="G17" i="77"/>
  <c r="H54" i="79" s="1"/>
  <c r="H53" i="79" s="1"/>
  <c r="E17" i="69"/>
  <c r="E17" i="74"/>
  <c r="E17" i="72"/>
  <c r="K17" i="69"/>
  <c r="R17" i="73"/>
  <c r="D4" i="80"/>
  <c r="P7" i="69"/>
  <c r="Z17" i="69"/>
  <c r="AF17" i="69"/>
  <c r="I8" i="73"/>
  <c r="I7" i="69"/>
  <c r="C3" i="80" s="1"/>
  <c r="J14" i="77"/>
  <c r="K39" i="79" s="1"/>
  <c r="K38" i="79" s="1"/>
  <c r="J69" i="79"/>
  <c r="J68" i="79" s="1"/>
  <c r="J20" i="77"/>
  <c r="K69" i="79" s="1"/>
  <c r="K68" i="79" s="1"/>
  <c r="U8" i="73"/>
  <c r="H1" i="80"/>
  <c r="AA3" i="69"/>
  <c r="J15" i="77"/>
  <c r="K44" i="79" s="1"/>
  <c r="K43" i="79" s="1"/>
  <c r="J44" i="79"/>
  <c r="J43" i="79" s="1"/>
  <c r="T17" i="69"/>
  <c r="O8" i="73"/>
  <c r="L8" i="73"/>
  <c r="L7" i="69"/>
  <c r="D3" i="80" s="1"/>
  <c r="E10" i="73"/>
  <c r="E10" i="69"/>
  <c r="E10" i="75"/>
  <c r="G10" i="77"/>
  <c r="H19" i="79" s="1"/>
  <c r="H18" i="79" s="1"/>
  <c r="E10" i="70"/>
  <c r="E10" i="78"/>
  <c r="E10" i="76"/>
  <c r="E10" i="77"/>
  <c r="E18" i="79"/>
  <c r="E10" i="74"/>
  <c r="E10" i="72"/>
  <c r="E10" i="71"/>
  <c r="F9" i="69"/>
  <c r="K9" i="69" s="1"/>
  <c r="W17" i="69"/>
  <c r="AO17" i="69"/>
  <c r="J59" i="79"/>
  <c r="J58" i="79" s="1"/>
  <c r="J18" i="77"/>
  <c r="K59" i="79" s="1"/>
  <c r="K58" i="79" s="1"/>
  <c r="G17" i="69"/>
  <c r="I17" i="77" s="1"/>
  <c r="AI17" i="69"/>
  <c r="AL17" i="69"/>
  <c r="J24" i="79"/>
  <c r="J23" i="79" s="1"/>
  <c r="J11" i="77"/>
  <c r="K24" i="79" s="1"/>
  <c r="K23" i="79" s="1"/>
  <c r="AM8" i="73"/>
  <c r="E12" i="72"/>
  <c r="E12" i="70"/>
  <c r="E12" i="69"/>
  <c r="E12" i="74"/>
  <c r="E28" i="79"/>
  <c r="E12" i="76"/>
  <c r="E12" i="77"/>
  <c r="E12" i="78"/>
  <c r="E12" i="73"/>
  <c r="E12" i="71"/>
  <c r="G12" i="77"/>
  <c r="H29" i="79" s="1"/>
  <c r="H28" i="79" s="1"/>
  <c r="E12" i="75"/>
  <c r="H17" i="69"/>
  <c r="AC17" i="69"/>
  <c r="F8" i="68"/>
  <c r="E8" i="68" s="1"/>
  <c r="E9" i="68"/>
  <c r="Q9" i="68"/>
  <c r="N9" i="68"/>
  <c r="K9" i="68"/>
  <c r="H9" i="68"/>
  <c r="Q9" i="69" l="1"/>
  <c r="H9" i="69"/>
  <c r="W9" i="69"/>
  <c r="AI9" i="69"/>
  <c r="AL9" i="69"/>
  <c r="E9" i="78"/>
  <c r="E9" i="72"/>
  <c r="E9" i="70"/>
  <c r="F8" i="69"/>
  <c r="E9" i="69"/>
  <c r="E9" i="74"/>
  <c r="Q8" i="69"/>
  <c r="E5" i="80" s="1"/>
  <c r="E9" i="75"/>
  <c r="E9" i="77"/>
  <c r="G9" i="77"/>
  <c r="H14" i="79" s="1"/>
  <c r="H13" i="79" s="1"/>
  <c r="E9" i="73"/>
  <c r="E9" i="76"/>
  <c r="E13" i="79"/>
  <c r="E9" i="71"/>
  <c r="I1" i="80"/>
  <c r="AD3" i="69"/>
  <c r="U13" i="73"/>
  <c r="U19" i="73"/>
  <c r="F19" i="73" s="1"/>
  <c r="H19" i="74" s="1"/>
  <c r="U18" i="73"/>
  <c r="G18" i="73" s="1"/>
  <c r="AA3" i="73"/>
  <c r="U14" i="73"/>
  <c r="U12" i="73"/>
  <c r="U20" i="73"/>
  <c r="U17" i="73"/>
  <c r="U9" i="73"/>
  <c r="AO9" i="69"/>
  <c r="AO8" i="69" s="1"/>
  <c r="M5" i="80" s="1"/>
  <c r="AF9" i="69"/>
  <c r="T9" i="69"/>
  <c r="T8" i="69" s="1"/>
  <c r="F5" i="80" s="1"/>
  <c r="Z9" i="69"/>
  <c r="J17" i="77"/>
  <c r="K54" i="79" s="1"/>
  <c r="K53" i="79" s="1"/>
  <c r="J54" i="79"/>
  <c r="J53" i="79" s="1"/>
  <c r="I7" i="73"/>
  <c r="J12" i="77"/>
  <c r="K29" i="79" s="1"/>
  <c r="K28" i="79" s="1"/>
  <c r="L7" i="73"/>
  <c r="O7" i="73" s="1"/>
  <c r="R7" i="73" s="1"/>
  <c r="U7" i="73" s="1"/>
  <c r="O7" i="69"/>
  <c r="G8" i="69"/>
  <c r="I8" i="77" s="1"/>
  <c r="I9" i="77"/>
  <c r="AC9" i="69"/>
  <c r="AC8" i="69" s="1"/>
  <c r="I5" i="80" s="1"/>
  <c r="E4" i="80"/>
  <c r="S7" i="69"/>
  <c r="J19" i="79"/>
  <c r="J18" i="79" s="1"/>
  <c r="J10" i="77"/>
  <c r="K19" i="79" s="1"/>
  <c r="K18" i="79" s="1"/>
  <c r="N9" i="69"/>
  <c r="Q8" i="68"/>
  <c r="H8" i="68"/>
  <c r="K8" i="68"/>
  <c r="N8" i="68"/>
  <c r="N8" i="69" l="1"/>
  <c r="D5" i="80" s="1"/>
  <c r="AF8" i="69"/>
  <c r="J5" i="80" s="1"/>
  <c r="Z8" i="69"/>
  <c r="H5" i="80" s="1"/>
  <c r="J14" i="79"/>
  <c r="J13" i="79" s="1"/>
  <c r="J9" i="77"/>
  <c r="K14" i="79" s="1"/>
  <c r="K13" i="79" s="1"/>
  <c r="F18" i="73"/>
  <c r="H18" i="74" s="1"/>
  <c r="J9" i="79"/>
  <c r="J8" i="79" s="1"/>
  <c r="J1" i="80"/>
  <c r="AG3" i="69"/>
  <c r="E8" i="78"/>
  <c r="E8" i="72"/>
  <c r="E8" i="70"/>
  <c r="E8" i="74"/>
  <c r="E8" i="79"/>
  <c r="E8" i="76"/>
  <c r="E8" i="71"/>
  <c r="E8" i="77"/>
  <c r="G8" i="77"/>
  <c r="H9" i="79" s="1"/>
  <c r="H8" i="79" s="1"/>
  <c r="E8" i="75"/>
  <c r="E8" i="73"/>
  <c r="E8" i="69"/>
  <c r="G20" i="73"/>
  <c r="F20" i="73"/>
  <c r="H20" i="74" s="1"/>
  <c r="K8" i="69"/>
  <c r="C5" i="80" s="1"/>
  <c r="W8" i="69"/>
  <c r="G5" i="80" s="1"/>
  <c r="G19" i="73"/>
  <c r="G17" i="73" s="1"/>
  <c r="AI8" i="69"/>
  <c r="K5" i="80" s="1"/>
  <c r="H8" i="69"/>
  <c r="E3" i="80"/>
  <c r="R7" i="69"/>
  <c r="F4" i="80"/>
  <c r="V7" i="69"/>
  <c r="AL8" i="69"/>
  <c r="L5" i="80" s="1"/>
  <c r="X14" i="73"/>
  <c r="AD3" i="73"/>
  <c r="X9" i="73"/>
  <c r="X13" i="73"/>
  <c r="X20" i="73"/>
  <c r="X12" i="73"/>
  <c r="X17" i="73"/>
  <c r="F17" i="73" s="1"/>
  <c r="H17" i="74" s="1"/>
  <c r="X8" i="73"/>
  <c r="AG3" i="73" l="1"/>
  <c r="AA12" i="73"/>
  <c r="AA14" i="73"/>
  <c r="AA13" i="73"/>
  <c r="AA9" i="73"/>
  <c r="AA8" i="73"/>
  <c r="AA7" i="73" s="1"/>
  <c r="J8" i="77"/>
  <c r="K9" i="79" s="1"/>
  <c r="K8" i="79" s="1"/>
  <c r="G4" i="80"/>
  <c r="Y7" i="69"/>
  <c r="F3" i="80"/>
  <c r="U7" i="69"/>
  <c r="X7" i="73"/>
  <c r="AJ3" i="69"/>
  <c r="K1" i="80"/>
  <c r="AB7" i="69" l="1"/>
  <c r="H4" i="80"/>
  <c r="G3" i="80"/>
  <c r="X7" i="69"/>
  <c r="AM3" i="69"/>
  <c r="M1" i="80" s="1"/>
  <c r="L1" i="80"/>
  <c r="AJ3" i="73"/>
  <c r="AD9" i="73"/>
  <c r="AD12" i="73"/>
  <c r="AD14" i="73"/>
  <c r="AD13" i="73"/>
  <c r="AD8" i="73"/>
  <c r="AD7" i="73" s="1"/>
  <c r="AM3" i="73" l="1"/>
  <c r="AG14" i="73"/>
  <c r="AG15" i="73"/>
  <c r="AG12" i="73"/>
  <c r="AG13" i="73"/>
  <c r="AG9" i="73"/>
  <c r="AG8" i="73"/>
  <c r="AG7" i="73" s="1"/>
  <c r="H3" i="80"/>
  <c r="AA7" i="69"/>
  <c r="I4" i="80"/>
  <c r="AE7" i="69"/>
  <c r="I3" i="80" l="1"/>
  <c r="AD7" i="69"/>
  <c r="J4" i="80"/>
  <c r="AH7" i="69"/>
  <c r="F15" i="73"/>
  <c r="H15" i="74" s="1"/>
  <c r="G15" i="73"/>
  <c r="AP3" i="73"/>
  <c r="AJ14" i="73"/>
  <c r="AJ13" i="73"/>
  <c r="AJ15" i="73"/>
  <c r="AJ9" i="73"/>
  <c r="F9" i="73" s="1"/>
  <c r="H9" i="74" s="1"/>
  <c r="AJ12" i="73"/>
  <c r="AJ8" i="73"/>
  <c r="AJ7" i="73" l="1"/>
  <c r="AM7" i="73" s="1"/>
  <c r="F8" i="73"/>
  <c r="H8" i="74" s="1"/>
  <c r="G12" i="73"/>
  <c r="F12" i="73"/>
  <c r="H12" i="74" s="1"/>
  <c r="F14" i="73"/>
  <c r="H14" i="74" s="1"/>
  <c r="G14" i="73"/>
  <c r="K4" i="80"/>
  <c r="AK7" i="69"/>
  <c r="J3" i="80"/>
  <c r="AG7" i="69"/>
  <c r="G13" i="73"/>
  <c r="F13" i="73"/>
  <c r="H13" i="74" s="1"/>
  <c r="K3" i="80" l="1"/>
  <c r="AJ7" i="69"/>
  <c r="G9" i="73"/>
  <c r="G8" i="73" s="1"/>
  <c r="L4" i="80"/>
  <c r="AN7" i="69"/>
  <c r="M4" i="80" s="1"/>
  <c r="L3" i="80" l="1"/>
  <c r="AM7" i="69"/>
  <c r="M3" i="80" s="1"/>
  <c r="F6" i="80" l="1"/>
  <c r="E6" i="80"/>
  <c r="H6" i="80"/>
  <c r="D6" i="80"/>
  <c r="I6" i="80"/>
  <c r="M6" i="80"/>
  <c r="J6" i="80"/>
  <c r="K6" i="80"/>
  <c r="C6" i="80"/>
  <c r="L6" i="80"/>
  <c r="G6" i="80"/>
</calcChain>
</file>

<file path=xl/sharedStrings.xml><?xml version="1.0" encoding="utf-8"?>
<sst xmlns="http://schemas.openxmlformats.org/spreadsheetml/2006/main" count="702" uniqueCount="101">
  <si>
    <t>Lvl</t>
  </si>
  <si>
    <t>PSP</t>
  </si>
  <si>
    <t>Aktivität</t>
  </si>
  <si>
    <t>Notizen/Beschreibung</t>
  </si>
  <si>
    <t>Gesamt</t>
  </si>
  <si>
    <t>Plan</t>
  </si>
  <si>
    <t xml:space="preserve"> IST</t>
  </si>
  <si>
    <t>%</t>
  </si>
  <si>
    <t>IST</t>
  </si>
  <si>
    <t>_plan</t>
  </si>
  <si>
    <t>_ist</t>
  </si>
  <si>
    <t>cumm:</t>
  </si>
  <si>
    <t>&lt;Projekt&gt;</t>
  </si>
  <si>
    <t>1.1</t>
  </si>
  <si>
    <t>Phase/Sammelvorgang</t>
  </si>
  <si>
    <t>1.1.1</t>
  </si>
  <si>
    <t>Arbeitspaket (mit Planwert)</t>
  </si>
  <si>
    <t>1.1.2</t>
  </si>
  <si>
    <t>Arbeitspaket ohne Planwert)</t>
  </si>
  <si>
    <t>1.1.3</t>
  </si>
  <si>
    <t>Meilenstein</t>
  </si>
  <si>
    <t>Mitarbeiterauslastung</t>
  </si>
  <si>
    <t>MA1</t>
  </si>
  <si>
    <t>MA2</t>
  </si>
  <si>
    <t>Pfad zu XML:</t>
  </si>
  <si>
    <t>Projektname:</t>
  </si>
  <si>
    <t>Start:</t>
  </si>
  <si>
    <t>Ende:</t>
  </si>
  <si>
    <t xml:space="preserve"> </t>
  </si>
  <si>
    <t>Stundensatz:</t>
  </si>
  <si>
    <t>Team:</t>
  </si>
  <si>
    <t>hier auch Datumsformat und weitere Formate (z.B. Kostenplan)</t>
  </si>
  <si>
    <t>v6</t>
  </si>
  <si>
    <t>Members a "TM1, TM2" werden als Fehler ausgewiesen</t>
  </si>
  <si>
    <t>v7</t>
  </si>
  <si>
    <t>bei manchen XML-exports fehlt bei Task0 der Name im XML-File -&gt; Task0 überspringen</t>
  </si>
  <si>
    <t>D:\5AHITM\ITP\Bu\MS-Project\firstproject.xml</t>
  </si>
  <si>
    <t>1</t>
  </si>
  <si>
    <t>ZoesReallyCoolProject</t>
  </si>
  <si>
    <t>Projektmanagement</t>
  </si>
  <si>
    <t>Projektstart durchführen</t>
  </si>
  <si>
    <t>Projekt gestartet</t>
  </si>
  <si>
    <t>Projektcontrolling durchführen</t>
  </si>
  <si>
    <t>1.1.4</t>
  </si>
  <si>
    <t>Projektmarketing durchführen</t>
  </si>
  <si>
    <t>1.1.5</t>
  </si>
  <si>
    <t>Projektkoordination durchführen</t>
  </si>
  <si>
    <t>1.1.6</t>
  </si>
  <si>
    <t>Projektabschluss durchführen</t>
  </si>
  <si>
    <t>1.1.7</t>
  </si>
  <si>
    <t>Projekt abgeschlossen</t>
  </si>
  <si>
    <t>1.2</t>
  </si>
  <si>
    <t>Analyse</t>
  </si>
  <si>
    <t>1.2.1</t>
  </si>
  <si>
    <t>GUI analysiren</t>
  </si>
  <si>
    <t>1.2.2</t>
  </si>
  <si>
    <t>DB analysieren</t>
  </si>
  <si>
    <t>1.2.3</t>
  </si>
  <si>
    <t>Funktionalität analysieren</t>
  </si>
  <si>
    <t>1.2.4</t>
  </si>
  <si>
    <t>Analyse abgeschlossen</t>
  </si>
  <si>
    <t>W,J,F</t>
  </si>
  <si>
    <t>AP-
Verantw.</t>
  </si>
  <si>
    <t>PLAN</t>
  </si>
  <si>
    <t>PLAN
adapt.</t>
  </si>
  <si>
    <t>Abn.
(Kürzel)</t>
  </si>
  <si>
    <t>Abn.-
Datum</t>
  </si>
  <si>
    <t>Abweichg.
[d]</t>
  </si>
  <si>
    <t>Anmerkungen</t>
  </si>
  <si>
    <t>W</t>
  </si>
  <si>
    <t>J</t>
  </si>
  <si>
    <t>F</t>
  </si>
  <si>
    <t>Abweichg.
[h]</t>
  </si>
  <si>
    <t>PLAN
[h]</t>
  </si>
  <si>
    <t>PLAN
adapt. [h]</t>
  </si>
  <si>
    <t>IST
[h]</t>
  </si>
  <si>
    <t>Risiko-Beschreibung</t>
  </si>
  <si>
    <t>Priorität
[+, o, -]</t>
  </si>
  <si>
    <t>Risiko-Kosten
[€]</t>
  </si>
  <si>
    <t>Eintritts- 
wahrscheinlichkeit [%]</t>
  </si>
  <si>
    <t>Risiko-Wert
[€]</t>
  </si>
  <si>
    <t>Verzögerung
[Wochen]</t>
  </si>
  <si>
    <t>Präventive und korrektive Maßnahmen</t>
  </si>
  <si>
    <t>Risikominimierungs-
kosten [€]</t>
  </si>
  <si>
    <t>Kostenart</t>
  </si>
  <si>
    <t>PLAN
[€]</t>
  </si>
  <si>
    <t>PLAN
adapt. [€]</t>
  </si>
  <si>
    <t>IST
[€]</t>
  </si>
  <si>
    <t>Abweichg.
[€]</t>
  </si>
  <si>
    <t>Personal</t>
  </si>
  <si>
    <t>Material</t>
  </si>
  <si>
    <t>Fremdleistungen</t>
  </si>
  <si>
    <t>Sonstige</t>
  </si>
  <si>
    <t>Woche</t>
  </si>
  <si>
    <t>EV</t>
  </si>
  <si>
    <t>Start</t>
  </si>
  <si>
    <t>Zielsystem für Ablage auswählen:</t>
  </si>
  <si>
    <t>Befehl zum Erstellen eines Ordners:</t>
  </si>
  <si>
    <t>Trennzeichen für Befehle in shell/cmd:</t>
  </si>
  <si>
    <t>vvvvv Befehle zur Erstellung der Projektablage vvvvv</t>
  </si>
  <si>
    <t>Windows/Dos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</si>
</sst>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"/>
    <numFmt numFmtId="165" formatCode="#,##0.00_ ;\-#,##0.00\ "/>
    <numFmt numFmtId="166" formatCode="dd\.mm\.yy"/>
    <numFmt numFmtId="167" formatCode="dd\.mm\.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51"/>
        <bgColor indexed="47"/>
      </patternFill>
    </fill>
    <fill>
      <patternFill patternType="solid">
        <fgColor indexed="44"/>
        <bgColor indexed="3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/>
      <right style="double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72">
    <xf numFmtId="0" fontId="0" fillId="0" borderId="0" xfId="0"/>
    <xf numFmtId="49" fontId="5" fillId="0" borderId="0" xfId="0" applyNumberFormat="1" applyFont="1" applyAlignment="1">
      <alignment horizontal="left" wrapText="1"/>
    </xf>
    <xf numFmtId="0" fontId="5" fillId="0" borderId="0" xfId="0" applyFont="1" applyAlignment="1">
      <alignment horizontal="left" wrapText="1"/>
    </xf>
    <xf numFmtId="164" fontId="5" fillId="0" borderId="0" xfId="0" applyNumberFormat="1" applyFont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0" fillId="0" borderId="1" xfId="0" applyBorder="1"/>
    <xf numFmtId="0" fontId="0" fillId="4" borderId="0" xfId="0" applyFill="1"/>
    <xf numFmtId="2" fontId="0" fillId="4" borderId="0" xfId="0" applyNumberFormat="1" applyFill="1"/>
    <xf numFmtId="49" fontId="4" fillId="5" borderId="0" xfId="0" applyNumberFormat="1" applyFont="1" applyFill="1" applyAlignment="1">
      <alignment vertical="top"/>
    </xf>
    <xf numFmtId="2" fontId="4" fillId="5" borderId="0" xfId="0" applyNumberFormat="1" applyFont="1" applyFill="1" applyAlignment="1">
      <alignment vertical="top"/>
    </xf>
    <xf numFmtId="10" fontId="4" fillId="5" borderId="1" xfId="1" applyNumberFormat="1" applyFont="1" applyFill="1" applyBorder="1" applyAlignment="1">
      <alignment horizontal="right" vertical="top"/>
    </xf>
    <xf numFmtId="10" fontId="4" fillId="5" borderId="0" xfId="1" applyNumberFormat="1" applyFont="1" applyFill="1" applyAlignment="1">
      <alignment vertical="top"/>
    </xf>
    <xf numFmtId="49" fontId="4" fillId="6" borderId="0" xfId="0" quotePrefix="1" applyNumberFormat="1" applyFont="1" applyFill="1" applyAlignment="1">
      <alignment horizontal="left" vertical="top" wrapText="1"/>
    </xf>
    <xf numFmtId="49" fontId="7" fillId="6" borderId="0" xfId="0" quotePrefix="1" applyNumberFormat="1" applyFont="1" applyFill="1" applyAlignment="1">
      <alignment horizontal="left" vertical="top" indent="1"/>
    </xf>
    <xf numFmtId="2" fontId="7" fillId="6" borderId="0" xfId="0" quotePrefix="1" applyNumberFormat="1" applyFont="1" applyFill="1" applyAlignment="1">
      <alignment horizontal="right" vertical="top" wrapText="1"/>
    </xf>
    <xf numFmtId="10" fontId="7" fillId="6" borderId="1" xfId="1" quotePrefix="1" applyNumberFormat="1" applyFont="1" applyFill="1" applyBorder="1" applyAlignment="1">
      <alignment horizontal="right" vertical="top" wrapText="1"/>
    </xf>
    <xf numFmtId="10" fontId="7" fillId="6" borderId="0" xfId="1" quotePrefix="1" applyNumberFormat="1" applyFont="1" applyFill="1" applyBorder="1" applyAlignment="1">
      <alignment horizontal="right" vertical="top" wrapText="1"/>
    </xf>
    <xf numFmtId="49" fontId="0" fillId="0" borderId="0" xfId="0" quotePrefix="1" applyNumberFormat="1" applyAlignment="1">
      <alignment horizontal="left" vertical="top" wrapText="1"/>
    </xf>
    <xf numFmtId="49" fontId="0" fillId="0" borderId="0" xfId="0" quotePrefix="1" applyNumberFormat="1" applyAlignment="1">
      <alignment horizontal="left" vertical="top" indent="2"/>
    </xf>
    <xf numFmtId="2" fontId="0" fillId="0" borderId="0" xfId="0" quotePrefix="1" applyNumberFormat="1" applyAlignment="1">
      <alignment horizontal="right" vertical="top" wrapText="1"/>
    </xf>
    <xf numFmtId="10" fontId="0" fillId="0" borderId="1" xfId="0" quotePrefix="1" applyNumberFormat="1" applyBorder="1" applyAlignment="1">
      <alignment horizontal="right" vertical="top" wrapText="1"/>
    </xf>
    <xf numFmtId="10" fontId="0" fillId="0" borderId="0" xfId="1" quotePrefix="1" applyNumberFormat="1" applyFont="1" applyFill="1" applyAlignment="1">
      <alignment horizontal="right" vertical="top" wrapText="1"/>
    </xf>
    <xf numFmtId="49" fontId="8" fillId="0" borderId="0" xfId="0" quotePrefix="1" applyNumberFormat="1" applyFont="1" applyAlignment="1">
      <alignment horizontal="left" vertical="top" wrapText="1"/>
    </xf>
    <xf numFmtId="0" fontId="0" fillId="7" borderId="0" xfId="0" applyFill="1" applyAlignment="1">
      <alignment horizontal="left"/>
    </xf>
    <xf numFmtId="0" fontId="0" fillId="7" borderId="0" xfId="0" applyFill="1"/>
    <xf numFmtId="0" fontId="0" fillId="7" borderId="1" xfId="0" applyFill="1" applyBorder="1"/>
    <xf numFmtId="2" fontId="2" fillId="2" borderId="0" xfId="2" applyNumberFormat="1"/>
    <xf numFmtId="2" fontId="3" fillId="3" borderId="0" xfId="3" applyNumberFormat="1"/>
    <xf numFmtId="0" fontId="0" fillId="0" borderId="0" xfId="0" quotePrefix="1"/>
    <xf numFmtId="0" fontId="4" fillId="0" borderId="0" xfId="0" applyFont="1"/>
    <xf numFmtId="0" fontId="0" fillId="0" borderId="0" xfId="0" applyAlignment="1">
      <alignment horizontal="left"/>
    </xf>
    <xf numFmtId="165" fontId="0" fillId="0" borderId="0" xfId="0" applyNumberFormat="1"/>
    <xf numFmtId="14" fontId="0" fillId="6" borderId="0" xfId="0" applyNumberFormat="1" applyFill="1"/>
    <xf numFmtId="0" fontId="10" fillId="0" borderId="0" xfId="0" applyFont="1" applyAlignment="1">
      <alignment wrapText="1"/>
    </xf>
    <xf numFmtId="49" fontId="0" fillId="0" borderId="0" xfId="0" quotePrefix="1" applyNumberFormat="1" applyAlignment="1">
      <alignment horizontal="left" vertical="top" indent="3"/>
    </xf>
    <xf numFmtId="49" fontId="7" fillId="6" borderId="0" xfId="0" quotePrefix="1" applyNumberFormat="1" applyFont="1" applyFill="1" applyAlignment="1">
      <alignment horizontal="left" vertical="top" indent="2"/>
    </xf>
    <xf numFmtId="0" fontId="4" fillId="5" borderId="0" xfId="0" applyFont="1" applyFill="1" applyAlignment="1">
      <alignment vertical="top"/>
    </xf>
    <xf numFmtId="0" fontId="4" fillId="6" borderId="0" xfId="0" quotePrefix="1" applyFont="1" applyFill="1" applyAlignment="1">
      <alignment horizontal="left" vertical="top" wrapText="1"/>
    </xf>
    <xf numFmtId="2" fontId="4" fillId="6" borderId="0" xfId="0" quotePrefix="1" applyNumberFormat="1" applyFont="1" applyFill="1" applyAlignment="1">
      <alignment horizontal="left" vertical="top" wrapText="1"/>
    </xf>
    <xf numFmtId="0" fontId="0" fillId="0" borderId="0" xfId="0" quotePrefix="1" applyAlignment="1">
      <alignment horizontal="left" vertical="top" wrapText="1"/>
    </xf>
    <xf numFmtId="2" fontId="0" fillId="0" borderId="0" xfId="0" quotePrefix="1" applyNumberFormat="1" applyAlignment="1">
      <alignment horizontal="left" vertical="top" wrapText="1"/>
    </xf>
    <xf numFmtId="166" fontId="0" fillId="0" borderId="0" xfId="0" applyNumberFormat="1"/>
    <xf numFmtId="166" fontId="4" fillId="5" borderId="0" xfId="0" applyNumberFormat="1" applyFont="1" applyFill="1" applyAlignment="1">
      <alignment vertical="top"/>
    </xf>
    <xf numFmtId="166" fontId="7" fillId="6" borderId="0" xfId="0" quotePrefix="1" applyNumberFormat="1" applyFont="1" applyFill="1" applyAlignment="1">
      <alignment horizontal="right" vertical="top" wrapText="1"/>
    </xf>
    <xf numFmtId="166" fontId="0" fillId="0" borderId="0" xfId="0" quotePrefix="1" applyNumberFormat="1" applyAlignment="1">
      <alignment horizontal="right" vertical="top" wrapText="1"/>
    </xf>
    <xf numFmtId="167" fontId="4" fillId="5" borderId="0" xfId="0" applyNumberFormat="1" applyFont="1" applyFill="1" applyAlignment="1">
      <alignment vertical="top"/>
    </xf>
    <xf numFmtId="167" fontId="4" fillId="6" borderId="0" xfId="0" quotePrefix="1" applyNumberFormat="1" applyFont="1" applyFill="1" applyAlignment="1">
      <alignment horizontal="left" vertical="top" wrapText="1"/>
    </xf>
    <xf numFmtId="167" fontId="0" fillId="0" borderId="0" xfId="0" quotePrefix="1" applyNumberFormat="1" applyAlignment="1">
      <alignment horizontal="left" vertical="top" wrapText="1"/>
    </xf>
    <xf numFmtId="167" fontId="0" fillId="0" borderId="0" xfId="0" applyNumberFormat="1"/>
    <xf numFmtId="0" fontId="5" fillId="0" borderId="0" xfId="0" applyFont="1" applyAlignment="1">
      <alignment horizontal="left" textRotation="90" wrapText="1"/>
    </xf>
    <xf numFmtId="2" fontId="5" fillId="0" borderId="0" xfId="0" applyNumberFormat="1" applyFont="1" applyAlignment="1">
      <alignment horizontal="left" wrapText="1"/>
    </xf>
    <xf numFmtId="2" fontId="0" fillId="0" borderId="0" xfId="0" applyNumberFormat="1" applyAlignment="1">
      <alignment horizontal="right"/>
    </xf>
    <xf numFmtId="2" fontId="5" fillId="0" borderId="0" xfId="0" applyNumberFormat="1" applyFont="1" applyAlignment="1">
      <alignment horizontal="right" wrapText="1"/>
    </xf>
    <xf numFmtId="2" fontId="4" fillId="5" borderId="0" xfId="0" applyNumberFormat="1" applyFont="1" applyFill="1" applyAlignment="1">
      <alignment horizontal="right" vertical="top"/>
    </xf>
    <xf numFmtId="2" fontId="4" fillId="6" borderId="0" xfId="0" quotePrefix="1" applyNumberFormat="1" applyFont="1" applyFill="1" applyAlignment="1">
      <alignment horizontal="right" vertical="top" wrapText="1"/>
    </xf>
    <xf numFmtId="2" fontId="0" fillId="0" borderId="0" xfId="0" applyNumberFormat="1" applyAlignment="1">
      <alignment horizontal="left"/>
    </xf>
    <xf numFmtId="2" fontId="4" fillId="5" borderId="0" xfId="0" applyNumberFormat="1" applyFont="1" applyFill="1" applyAlignment="1">
      <alignment horizontal="left" vertical="top"/>
    </xf>
    <xf numFmtId="2" fontId="5" fillId="0" borderId="0" xfId="0" applyNumberFormat="1" applyFont="1" applyAlignment="1">
      <alignment horizontal="center" textRotation="90" wrapText="1" shrinkToFit="1"/>
    </xf>
    <xf numFmtId="2" fontId="4" fillId="5" borderId="0" xfId="0" applyNumberFormat="1" applyFont="1" applyFill="1" applyAlignment="1">
      <alignment horizontal="right" vertical="top" indent="1" justifyLastLine="1"/>
    </xf>
    <xf numFmtId="2" fontId="4" fillId="6" borderId="0" xfId="0" quotePrefix="1" applyNumberFormat="1" applyFont="1" applyFill="1" applyAlignment="1">
      <alignment horizontal="right" vertical="top" wrapText="1" indent="1" justifyLastLine="1"/>
    </xf>
    <xf numFmtId="2" fontId="0" fillId="0" borderId="0" xfId="0" quotePrefix="1" applyNumberFormat="1" applyAlignment="1">
      <alignment horizontal="right" vertical="top" wrapText="1" indent="1" justifyLastLine="1"/>
    </xf>
    <xf numFmtId="2" fontId="4" fillId="0" borderId="0" xfId="0" quotePrefix="1" applyNumberFormat="1" applyFont="1" applyAlignment="1">
      <alignment horizontal="right" vertical="top" wrapText="1"/>
    </xf>
    <xf numFmtId="2" fontId="0" fillId="0" borderId="0" xfId="0" applyNumberFormat="1" applyAlignment="1">
      <alignment horizontal="right" indent="1" justifyLastLine="1"/>
    </xf>
    <xf numFmtId="2" fontId="4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4" fillId="7" borderId="0" xfId="0" applyFont="1" applyFill="1" applyAlignment="1">
      <alignment horizontal="left"/>
    </xf>
    <xf numFmtId="0" fontId="0" fillId="0" borderId="0" xfId="0" applyAlignment="1">
      <alignment horizontal="left"/>
    </xf>
  </cellXfs>
  <cellStyles count="4">
    <cellStyle name="Bad" xfId="3" builtinId="27"/>
    <cellStyle name="Good" xfId="2" builtinId="26"/>
    <cellStyle name="Normal" xfId="0" builtinId="0"/>
    <cellStyle name="Percent" xfId="1" builtinId="5"/>
  </cellStyles>
  <dxfs count="126"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 tint="-0.14996795556505021"/>
      </font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 tint="-0.14996795556505021"/>
      </font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 tint="-0.14996795556505021"/>
      </font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 tint="-0.14996795556505021"/>
      </font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7620</xdr:rowOff>
        </xdr:from>
        <xdr:to>
          <xdr:col>2</xdr:col>
          <xdr:colOff>716280</xdr:colOff>
          <xdr:row>1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22860</xdr:rowOff>
        </xdr:from>
        <xdr:to>
          <xdr:col>2</xdr:col>
          <xdr:colOff>716280</xdr:colOff>
          <xdr:row>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175260</xdr:rowOff>
        </xdr:from>
        <xdr:to>
          <xdr:col>7</xdr:col>
          <xdr:colOff>68580</xdr:colOff>
          <xdr:row>1</xdr:row>
          <xdr:rowOff>182880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Sheet ...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114300</xdr:colOff>
      <xdr:row>4</xdr:row>
      <xdr:rowOff>85726</xdr:rowOff>
    </xdr:from>
    <xdr:to>
      <xdr:col>7</xdr:col>
      <xdr:colOff>733425</xdr:colOff>
      <xdr:row>7</xdr:row>
      <xdr:rowOff>9526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29400" y="847726"/>
          <a:ext cx="2143125" cy="4953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/>
            <a:t>Für</a:t>
          </a:r>
          <a:r>
            <a:rPr lang="de-AT" sz="1100" baseline="0"/>
            <a:t> MS-Project 2016 XML (&lt;SaveVersion&gt;14&lt;/SaveVersion&gt;)</a:t>
          </a:r>
          <a:endParaRPr lang="de-A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95249</xdr:colOff>
      <xdr:row>14</xdr:row>
      <xdr:rowOff>0</xdr:rowOff>
    </xdr:from>
    <xdr:to>
      <xdr:col>12</xdr:col>
      <xdr:colOff>639536</xdr:colOff>
      <xdr:row>16</xdr:row>
      <xdr:rowOff>13606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820024" y="2667000"/>
          <a:ext cx="1477737" cy="39460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/>
            <a:t>Auslastung bei MA1 OK</a:t>
          </a:r>
          <a:r>
            <a:rPr lang="de-AT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(lt. Plan!)</a:t>
          </a:r>
          <a:endParaRPr lang="de-AT" sz="1100"/>
        </a:p>
      </xdr:txBody>
    </xdr:sp>
    <xdr:clientData/>
  </xdr:twoCellAnchor>
  <xdr:twoCellAnchor>
    <xdr:from>
      <xdr:col>10</xdr:col>
      <xdr:colOff>54427</xdr:colOff>
      <xdr:row>16</xdr:row>
      <xdr:rowOff>54430</xdr:rowOff>
    </xdr:from>
    <xdr:to>
      <xdr:col>12</xdr:col>
      <xdr:colOff>544285</xdr:colOff>
      <xdr:row>17</xdr:row>
      <xdr:rowOff>122464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779202" y="3102430"/>
          <a:ext cx="1518558" cy="25853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/>
            <a:t>Überlastung bei MA2 </a:t>
          </a:r>
          <a:r>
            <a:rPr lang="de-AT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(lt. Plan!)</a:t>
          </a:r>
          <a:endParaRPr lang="de-A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2:H21"/>
  <sheetViews>
    <sheetView workbookViewId="0">
      <selection activeCell="C3" sqref="C3"/>
    </sheetView>
  </sheetViews>
  <sheetFormatPr defaultColWidth="11.5546875" defaultRowHeight="14.4" x14ac:dyDescent="0.3"/>
  <cols>
    <col min="1" max="1" width="13" bestFit="1" customWidth="1"/>
    <col min="2" max="2" width="61.88671875" customWidth="1"/>
    <col min="3" max="3" width="11.44140625" customWidth="1"/>
    <col min="5" max="5" width="0" hidden="1" customWidth="1"/>
  </cols>
  <sheetData>
    <row r="2" spans="1:8" x14ac:dyDescent="0.3">
      <c r="A2" s="31" t="s">
        <v>24</v>
      </c>
      <c r="B2" t="s">
        <v>36</v>
      </c>
    </row>
    <row r="3" spans="1:8" x14ac:dyDescent="0.3">
      <c r="A3" s="31"/>
    </row>
    <row r="4" spans="1:8" x14ac:dyDescent="0.3">
      <c r="A4" s="31" t="s">
        <v>25</v>
      </c>
    </row>
    <row r="5" spans="1:8" x14ac:dyDescent="0.3">
      <c r="A5" s="31"/>
    </row>
    <row r="6" spans="1:8" x14ac:dyDescent="0.3">
      <c r="A6" s="31" t="s">
        <v>26</v>
      </c>
      <c r="B6" s="34">
        <v>45572</v>
      </c>
    </row>
    <row r="7" spans="1:8" x14ac:dyDescent="0.3">
      <c r="A7" s="31" t="s">
        <v>27</v>
      </c>
      <c r="B7" s="34">
        <v>45639</v>
      </c>
    </row>
    <row r="8" spans="1:8" x14ac:dyDescent="0.3">
      <c r="A8" s="31"/>
    </row>
    <row r="9" spans="1:8" x14ac:dyDescent="0.3">
      <c r="A9" s="31" t="s">
        <v>30</v>
      </c>
      <c r="B9" s="34" t="s">
        <v>61</v>
      </c>
    </row>
    <row r="10" spans="1:8" x14ac:dyDescent="0.3">
      <c r="E10" t="s">
        <v>28</v>
      </c>
    </row>
    <row r="14" spans="1:8" x14ac:dyDescent="0.3">
      <c r="D14" t="s">
        <v>28</v>
      </c>
    </row>
    <row r="15" spans="1:8" x14ac:dyDescent="0.3">
      <c r="B15" s="35"/>
      <c r="C15" s="35"/>
      <c r="D15" s="35"/>
      <c r="E15" s="35"/>
      <c r="F15" s="35"/>
      <c r="G15" s="35" t="s">
        <v>28</v>
      </c>
      <c r="H15" t="s">
        <v>28</v>
      </c>
    </row>
    <row r="19" spans="1:2" x14ac:dyDescent="0.3">
      <c r="B19" t="s">
        <v>28</v>
      </c>
    </row>
    <row r="20" spans="1:2" x14ac:dyDescent="0.3">
      <c r="A20" t="s">
        <v>32</v>
      </c>
      <c r="B20" t="s">
        <v>33</v>
      </c>
    </row>
    <row r="21" spans="1:2" x14ac:dyDescent="0.3">
      <c r="A21" t="s">
        <v>34</v>
      </c>
      <c r="B21" t="s">
        <v>35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haltfläche_ChooseXMLFile">
                <anchor moveWithCells="1" sizeWithCells="1">
                  <from>
                    <xdr:col>2</xdr:col>
                    <xdr:colOff>38100</xdr:colOff>
                    <xdr:row>1</xdr:row>
                    <xdr:rowOff>7620</xdr:rowOff>
                  </from>
                  <to>
                    <xdr:col>2</xdr:col>
                    <xdr:colOff>716280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chaltfläche_ImportXMLFile">
                <anchor moveWithCells="1" sizeWithCells="1">
                  <from>
                    <xdr:col>2</xdr:col>
                    <xdr:colOff>38100</xdr:colOff>
                    <xdr:row>3</xdr:row>
                    <xdr:rowOff>22860</xdr:rowOff>
                  </from>
                  <to>
                    <xdr:col>2</xdr:col>
                    <xdr:colOff>716280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emove_ProjSheets">
                <anchor moveWithCells="1" sizeWithCells="1">
                  <from>
                    <xdr:col>5</xdr:col>
                    <xdr:colOff>45720</xdr:colOff>
                    <xdr:row>0</xdr:row>
                    <xdr:rowOff>175260</xdr:rowOff>
                  </from>
                  <to>
                    <xdr:col>7</xdr:col>
                    <xdr:colOff>68580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0669-5BCD-4A1F-A192-BC30398D6AF7}">
  <dimension ref="A1:AO22"/>
  <sheetViews>
    <sheetView topLeftCell="B1" workbookViewId="0">
      <selection activeCell="N11" sqref="N11"/>
    </sheetView>
  </sheetViews>
  <sheetFormatPr defaultColWidth="11.5546875" defaultRowHeight="14.4" x14ac:dyDescent="0.3"/>
  <cols>
    <col min="1" max="1" width="2" hidden="1" customWidth="1"/>
    <col min="2" max="2" width="5.109375" bestFit="1" customWidth="1"/>
    <col min="3" max="3" width="34.6640625" bestFit="1" customWidth="1"/>
    <col min="5" max="5" width="14.6640625" customWidth="1"/>
  </cols>
  <sheetData>
    <row r="1" spans="1:41" x14ac:dyDescent="0.3">
      <c r="B1" s="32"/>
    </row>
    <row r="2" spans="1:41" ht="27" x14ac:dyDescent="0.3">
      <c r="B2" s="1" t="s">
        <v>1</v>
      </c>
      <c r="C2" s="2" t="s">
        <v>2</v>
      </c>
      <c r="D2" s="2" t="s">
        <v>3</v>
      </c>
      <c r="E2" s="2"/>
      <c r="F2" s="68" t="s">
        <v>4</v>
      </c>
      <c r="G2" s="68"/>
      <c r="H2" s="69"/>
      <c r="I2" s="67" t="str">
        <f>"Woche " &amp; (COLUMN(I2) - COLUMN($I2)) / 3 + 1</f>
        <v>Woche 1</v>
      </c>
      <c r="J2" s="67"/>
      <c r="K2" s="67"/>
      <c r="L2" s="67" t="str">
        <f t="shared" ref="L2" si="0">"Woche " &amp; (COLUMN(L2) - COLUMN($I2)) / 3 + 1</f>
        <v>Woche 2</v>
      </c>
      <c r="M2" s="67"/>
      <c r="N2" s="67"/>
      <c r="O2" s="67" t="str">
        <f t="shared" ref="O2:AM2" si="1">"Woche " &amp; (COLUMN(O2) - COLUMN($I2)) / 3 + 1</f>
        <v>Woche 3</v>
      </c>
      <c r="P2" s="67"/>
      <c r="Q2" s="67"/>
      <c r="R2" s="67" t="str">
        <f t="shared" si="1"/>
        <v>Woche 4</v>
      </c>
      <c r="S2" s="67"/>
      <c r="T2" s="67"/>
      <c r="U2" s="67" t="str">
        <f t="shared" si="1"/>
        <v>Woche 5</v>
      </c>
      <c r="V2" s="67"/>
      <c r="W2" s="67"/>
      <c r="X2" s="67" t="str">
        <f t="shared" si="1"/>
        <v>Woche 6</v>
      </c>
      <c r="Y2" s="67"/>
      <c r="Z2" s="67"/>
      <c r="AA2" s="67" t="str">
        <f t="shared" si="1"/>
        <v>Woche 7</v>
      </c>
      <c r="AB2" s="67"/>
      <c r="AC2" s="67"/>
      <c r="AD2" s="67" t="str">
        <f t="shared" si="1"/>
        <v>Woche 8</v>
      </c>
      <c r="AE2" s="67"/>
      <c r="AF2" s="67"/>
      <c r="AG2" s="67" t="str">
        <f t="shared" si="1"/>
        <v>Woche 9</v>
      </c>
      <c r="AH2" s="67"/>
      <c r="AI2" s="67"/>
      <c r="AJ2" s="67" t="str">
        <f t="shared" si="1"/>
        <v>Woche 10</v>
      </c>
      <c r="AK2" s="67"/>
      <c r="AL2" s="67"/>
      <c r="AM2" s="67" t="str">
        <f t="shared" si="1"/>
        <v>Woche 11</v>
      </c>
      <c r="AN2" s="67"/>
      <c r="AO2" s="67"/>
    </row>
    <row r="3" spans="1:41" x14ac:dyDescent="0.3">
      <c r="B3" s="1"/>
      <c r="C3" s="2"/>
      <c r="D3" s="2"/>
      <c r="E3" s="2"/>
      <c r="F3" s="3"/>
      <c r="G3" s="3"/>
      <c r="H3" s="4"/>
      <c r="I3" s="66">
        <v>45572</v>
      </c>
      <c r="J3" s="66"/>
      <c r="K3" s="66"/>
      <c r="L3" s="66">
        <f>I3+7</f>
        <v>45579</v>
      </c>
      <c r="M3" s="66"/>
      <c r="N3" s="66"/>
      <c r="O3" s="66">
        <f t="shared" ref="O3" si="2">L3+7</f>
        <v>45586</v>
      </c>
      <c r="P3" s="66"/>
      <c r="Q3" s="66"/>
      <c r="R3" s="66">
        <f t="shared" ref="R3" si="3">O3+7</f>
        <v>45593</v>
      </c>
      <c r="S3" s="66"/>
      <c r="T3" s="66"/>
      <c r="U3" s="66">
        <f t="shared" ref="U3" si="4">R3+7</f>
        <v>45600</v>
      </c>
      <c r="V3" s="66"/>
      <c r="W3" s="66"/>
      <c r="X3" s="66">
        <f t="shared" ref="X3" si="5">U3+7</f>
        <v>45607</v>
      </c>
      <c r="Y3" s="66"/>
      <c r="Z3" s="66"/>
      <c r="AA3" s="66">
        <f t="shared" ref="AA3" si="6">X3+7</f>
        <v>45614</v>
      </c>
      <c r="AB3" s="66"/>
      <c r="AC3" s="66"/>
      <c r="AD3" s="66">
        <f t="shared" ref="AD3" si="7">AA3+7</f>
        <v>45621</v>
      </c>
      <c r="AE3" s="66"/>
      <c r="AF3" s="66"/>
      <c r="AG3" s="66">
        <f t="shared" ref="AG3" si="8">AD3+7</f>
        <v>45628</v>
      </c>
      <c r="AH3" s="66"/>
      <c r="AI3" s="66"/>
      <c r="AJ3" s="66">
        <f t="shared" ref="AJ3" si="9">AG3+7</f>
        <v>45635</v>
      </c>
      <c r="AK3" s="66"/>
      <c r="AL3" s="66"/>
      <c r="AM3" s="66">
        <f t="shared" ref="AM3" si="10">AJ3+7</f>
        <v>45642</v>
      </c>
      <c r="AN3" s="66"/>
      <c r="AO3" s="66"/>
    </row>
    <row r="4" spans="1:41" x14ac:dyDescent="0.3">
      <c r="B4" s="1"/>
      <c r="C4" s="2"/>
      <c r="D4" s="2"/>
      <c r="E4" s="2"/>
      <c r="F4" s="5" t="s">
        <v>5</v>
      </c>
      <c r="G4" s="5" t="s">
        <v>6</v>
      </c>
      <c r="H4" s="6" t="s">
        <v>7</v>
      </c>
      <c r="I4" s="5" t="s">
        <v>5</v>
      </c>
      <c r="J4" s="5" t="s">
        <v>8</v>
      </c>
      <c r="K4" s="5" t="s">
        <v>7</v>
      </c>
      <c r="L4" s="5" t="s">
        <v>5</v>
      </c>
      <c r="M4" s="5" t="s">
        <v>8</v>
      </c>
      <c r="N4" s="5" t="s">
        <v>7</v>
      </c>
      <c r="O4" s="5" t="s">
        <v>5</v>
      </c>
      <c r="P4" s="5" t="s">
        <v>8</v>
      </c>
      <c r="Q4" s="5" t="s">
        <v>7</v>
      </c>
      <c r="R4" s="5" t="s">
        <v>5</v>
      </c>
      <c r="S4" s="5" t="s">
        <v>8</v>
      </c>
      <c r="T4" s="5" t="s">
        <v>7</v>
      </c>
      <c r="U4" s="5" t="s">
        <v>5</v>
      </c>
      <c r="V4" s="5" t="s">
        <v>8</v>
      </c>
      <c r="W4" s="5" t="s">
        <v>7</v>
      </c>
      <c r="X4" s="5" t="s">
        <v>5</v>
      </c>
      <c r="Y4" s="5" t="s">
        <v>8</v>
      </c>
      <c r="Z4" s="5" t="s">
        <v>7</v>
      </c>
      <c r="AA4" s="5" t="s">
        <v>5</v>
      </c>
      <c r="AB4" s="5" t="s">
        <v>8</v>
      </c>
      <c r="AC4" s="5" t="s">
        <v>7</v>
      </c>
      <c r="AD4" s="5" t="s">
        <v>5</v>
      </c>
      <c r="AE4" s="5" t="s">
        <v>8</v>
      </c>
      <c r="AF4" s="5" t="s">
        <v>7</v>
      </c>
      <c r="AG4" s="5" t="s">
        <v>5</v>
      </c>
      <c r="AH4" s="5" t="s">
        <v>8</v>
      </c>
      <c r="AI4" s="5" t="s">
        <v>7</v>
      </c>
      <c r="AJ4" s="5" t="s">
        <v>5</v>
      </c>
      <c r="AK4" s="5" t="s">
        <v>8</v>
      </c>
      <c r="AL4" s="5" t="s">
        <v>7</v>
      </c>
      <c r="AM4" s="5" t="s">
        <v>5</v>
      </c>
      <c r="AN4" s="5" t="s">
        <v>8</v>
      </c>
      <c r="AO4" s="5" t="s">
        <v>7</v>
      </c>
    </row>
    <row r="5" spans="1:41" hidden="1" x14ac:dyDescent="0.3">
      <c r="B5" s="1"/>
      <c r="C5" s="2"/>
      <c r="D5" s="2"/>
      <c r="E5" s="2"/>
      <c r="F5" t="s">
        <v>9</v>
      </c>
      <c r="H5" s="7"/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1</v>
      </c>
      <c r="P5">
        <v>0</v>
      </c>
      <c r="Q5">
        <v>0</v>
      </c>
      <c r="R5">
        <v>1</v>
      </c>
      <c r="S5">
        <v>0</v>
      </c>
      <c r="T5">
        <v>0</v>
      </c>
      <c r="U5">
        <v>1</v>
      </c>
      <c r="V5">
        <v>0</v>
      </c>
      <c r="W5">
        <v>0</v>
      </c>
      <c r="X5">
        <v>1</v>
      </c>
      <c r="Y5">
        <v>0</v>
      </c>
      <c r="Z5">
        <v>0</v>
      </c>
      <c r="AA5">
        <v>1</v>
      </c>
      <c r="AB5">
        <v>0</v>
      </c>
      <c r="AC5">
        <v>0</v>
      </c>
      <c r="AD5">
        <v>1</v>
      </c>
      <c r="AE5">
        <v>0</v>
      </c>
      <c r="AF5">
        <v>0</v>
      </c>
      <c r="AG5">
        <v>1</v>
      </c>
      <c r="AH5">
        <v>0</v>
      </c>
      <c r="AI5">
        <v>0</v>
      </c>
      <c r="AJ5">
        <v>1</v>
      </c>
      <c r="AK5">
        <v>0</v>
      </c>
      <c r="AL5">
        <v>0</v>
      </c>
      <c r="AM5">
        <v>1</v>
      </c>
      <c r="AN5">
        <v>0</v>
      </c>
      <c r="AO5">
        <v>0</v>
      </c>
    </row>
    <row r="6" spans="1:41" hidden="1" x14ac:dyDescent="0.3">
      <c r="B6" s="32"/>
      <c r="F6" t="s">
        <v>10</v>
      </c>
      <c r="H6" s="7"/>
      <c r="I6">
        <v>0</v>
      </c>
      <c r="J6">
        <v>1</v>
      </c>
      <c r="K6">
        <v>0</v>
      </c>
      <c r="L6">
        <v>0</v>
      </c>
      <c r="M6">
        <v>1</v>
      </c>
      <c r="N6">
        <v>0</v>
      </c>
      <c r="O6">
        <v>0</v>
      </c>
      <c r="P6">
        <v>1</v>
      </c>
      <c r="Q6">
        <v>0</v>
      </c>
      <c r="R6">
        <v>0</v>
      </c>
      <c r="S6">
        <v>1</v>
      </c>
      <c r="T6">
        <v>0</v>
      </c>
      <c r="U6">
        <v>0</v>
      </c>
      <c r="V6">
        <v>1</v>
      </c>
      <c r="W6">
        <v>0</v>
      </c>
      <c r="X6">
        <v>0</v>
      </c>
      <c r="Y6">
        <v>1</v>
      </c>
      <c r="Z6">
        <v>0</v>
      </c>
      <c r="AA6">
        <v>0</v>
      </c>
      <c r="AB6">
        <v>1</v>
      </c>
      <c r="AC6">
        <v>0</v>
      </c>
      <c r="AD6">
        <v>0</v>
      </c>
      <c r="AE6">
        <v>1</v>
      </c>
      <c r="AF6">
        <v>0</v>
      </c>
      <c r="AG6">
        <v>0</v>
      </c>
      <c r="AH6">
        <v>1</v>
      </c>
      <c r="AI6">
        <v>0</v>
      </c>
      <c r="AJ6">
        <v>0</v>
      </c>
      <c r="AK6">
        <v>1</v>
      </c>
      <c r="AL6">
        <v>0</v>
      </c>
      <c r="AM6">
        <v>0</v>
      </c>
      <c r="AN6">
        <v>1</v>
      </c>
      <c r="AO6">
        <v>0</v>
      </c>
    </row>
    <row r="7" spans="1:41" x14ac:dyDescent="0.3">
      <c r="B7" s="32"/>
      <c r="F7" s="8"/>
      <c r="G7" s="8"/>
      <c r="H7" s="7" t="s">
        <v>11</v>
      </c>
      <c r="I7" s="9">
        <f>I8</f>
        <v>15.25</v>
      </c>
      <c r="J7" s="9">
        <f>J8</f>
        <v>13</v>
      </c>
      <c r="L7" s="9">
        <f t="shared" ref="L7:M7" si="11">L8+I7</f>
        <v>30.5</v>
      </c>
      <c r="M7" s="9">
        <f t="shared" si="11"/>
        <v>28</v>
      </c>
      <c r="O7" s="9">
        <f t="shared" ref="O7" si="12">O8+L7</f>
        <v>43.75</v>
      </c>
      <c r="P7" s="9">
        <f t="shared" ref="P7" si="13">P8+M7</f>
        <v>28</v>
      </c>
      <c r="R7" s="9">
        <f t="shared" ref="R7" si="14">R8+O7</f>
        <v>60</v>
      </c>
      <c r="S7" s="9">
        <f t="shared" ref="S7" si="15">S8+P7</f>
        <v>28</v>
      </c>
      <c r="U7" s="9">
        <f t="shared" ref="U7" si="16">U8+R7</f>
        <v>76.25</v>
      </c>
      <c r="V7" s="9">
        <f t="shared" ref="V7" si="17">V8+S7</f>
        <v>28</v>
      </c>
      <c r="X7" s="9">
        <f t="shared" ref="X7" si="18">X8+U7</f>
        <v>85.5</v>
      </c>
      <c r="Y7" s="9">
        <f t="shared" ref="Y7" si="19">Y8+V7</f>
        <v>28</v>
      </c>
      <c r="AA7" s="9">
        <f t="shared" ref="AA7" si="20">AA8+X7</f>
        <v>88.75</v>
      </c>
      <c r="AB7" s="9">
        <f t="shared" ref="AB7" si="21">AB8+Y7</f>
        <v>28</v>
      </c>
      <c r="AD7" s="9">
        <f t="shared" ref="AD7" si="22">AD8+AA7</f>
        <v>92</v>
      </c>
      <c r="AE7" s="9">
        <f t="shared" ref="AE7" si="23">AE8+AB7</f>
        <v>28</v>
      </c>
      <c r="AG7" s="9">
        <f t="shared" ref="AG7" si="24">AG8+AD7</f>
        <v>107.25</v>
      </c>
      <c r="AH7" s="9">
        <f t="shared" ref="AH7" si="25">AH8+AE7</f>
        <v>28</v>
      </c>
      <c r="AJ7" s="9">
        <f t="shared" ref="AJ7" si="26">AJ8+AG7</f>
        <v>122.5</v>
      </c>
      <c r="AK7" s="9">
        <f t="shared" ref="AK7" si="27">AK8+AH7</f>
        <v>28</v>
      </c>
      <c r="AM7" s="9">
        <f t="shared" ref="AM7" si="28">AM8+AJ7</f>
        <v>122.5</v>
      </c>
      <c r="AN7" s="9">
        <f t="shared" ref="AN7" si="29">AN8+AK7</f>
        <v>28</v>
      </c>
    </row>
    <row r="8" spans="1:41" x14ac:dyDescent="0.3">
      <c r="A8">
        <v>1</v>
      </c>
      <c r="B8" s="10" t="s">
        <v>37</v>
      </c>
      <c r="C8" s="11" t="s">
        <v>38</v>
      </c>
      <c r="D8" s="11"/>
      <c r="E8" s="11">
        <f>GANTT!$F$8</f>
        <v>122.5</v>
      </c>
      <c r="F8" s="11">
        <f>SUM(F9,F17)</f>
        <v>122.5</v>
      </c>
      <c r="G8" s="11">
        <f>SUM(G9,G17)</f>
        <v>28</v>
      </c>
      <c r="H8" s="12">
        <f>SUM($F9*H9,$F17*H17)/$F8</f>
        <v>0.19591836734693877</v>
      </c>
      <c r="I8" s="11">
        <f t="shared" ref="I8:J8" si="30">SUM(I9,I17)</f>
        <v>15.25</v>
      </c>
      <c r="J8" s="11">
        <f t="shared" si="30"/>
        <v>13</v>
      </c>
      <c r="K8" s="13">
        <f t="shared" ref="K8" si="31">SUM($F9*K9,$F17*K17)/$F8</f>
        <v>4.8979591836734691E-2</v>
      </c>
      <c r="L8" s="11">
        <f t="shared" ref="L8" si="32">SUM(L9,L17)</f>
        <v>15.25</v>
      </c>
      <c r="M8" s="11">
        <f t="shared" ref="M8" si="33">SUM(M9,M17)</f>
        <v>15</v>
      </c>
      <c r="N8" s="13">
        <f t="shared" ref="N8" si="34">SUM($F9*N9,$F17*N17)/$F8</f>
        <v>0.19591836734693877</v>
      </c>
      <c r="O8" s="11">
        <f t="shared" ref="O8" si="35">SUM(O9,O17)</f>
        <v>13.25</v>
      </c>
      <c r="P8" s="11">
        <f t="shared" ref="P8" si="36">SUM(P9,P17)</f>
        <v>0</v>
      </c>
      <c r="Q8" s="13">
        <f t="shared" ref="Q8" si="37">SUM($F9*Q9,$F17*Q17)/$F8</f>
        <v>0.19591836734693877</v>
      </c>
      <c r="R8" s="11">
        <f t="shared" ref="R8" si="38">SUM(R9,R17)</f>
        <v>16.25</v>
      </c>
      <c r="S8" s="11">
        <f t="shared" ref="S8" si="39">SUM(S9,S17)</f>
        <v>0</v>
      </c>
      <c r="T8" s="13">
        <f t="shared" ref="T8" si="40">SUM($F9*T9,$F17*T17)/$F8</f>
        <v>0.19591836734693877</v>
      </c>
      <c r="U8" s="11">
        <f t="shared" ref="U8" si="41">SUM(U9,U17)</f>
        <v>16.25</v>
      </c>
      <c r="V8" s="11">
        <f t="shared" ref="V8" si="42">SUM(V9,V17)</f>
        <v>0</v>
      </c>
      <c r="W8" s="13">
        <f t="shared" ref="W8" si="43">SUM($F9*W9,$F17*W17)/$F8</f>
        <v>0.19591836734693877</v>
      </c>
      <c r="X8" s="11">
        <f t="shared" ref="X8" si="44">SUM(X9,X17)</f>
        <v>9.25</v>
      </c>
      <c r="Y8" s="11">
        <f t="shared" ref="Y8" si="45">SUM(Y9,Y17)</f>
        <v>0</v>
      </c>
      <c r="Z8" s="13">
        <f t="shared" ref="Z8" si="46">SUM($F9*Z9,$F17*Z17)/$F8</f>
        <v>0.19591836734693877</v>
      </c>
      <c r="AA8" s="11">
        <f t="shared" ref="AA8" si="47">SUM(AA9,AA17)</f>
        <v>3.25</v>
      </c>
      <c r="AB8" s="11">
        <f t="shared" ref="AB8" si="48">SUM(AB9,AB17)</f>
        <v>0</v>
      </c>
      <c r="AC8" s="13">
        <f t="shared" ref="AC8" si="49">SUM($F9*AC9,$F17*AC17)/$F8</f>
        <v>0.19591836734693877</v>
      </c>
      <c r="AD8" s="11">
        <f t="shared" ref="AD8" si="50">SUM(AD9,AD17)</f>
        <v>3.25</v>
      </c>
      <c r="AE8" s="11">
        <f t="shared" ref="AE8" si="51">SUM(AE9,AE17)</f>
        <v>0</v>
      </c>
      <c r="AF8" s="13">
        <f t="shared" ref="AF8" si="52">SUM($F9*AF9,$F17*AF17)/$F8</f>
        <v>0.19591836734693877</v>
      </c>
      <c r="AG8" s="11">
        <f t="shared" ref="AG8" si="53">SUM(AG9,AG17)</f>
        <v>15.25</v>
      </c>
      <c r="AH8" s="11">
        <f t="shared" ref="AH8" si="54">SUM(AH9,AH17)</f>
        <v>0</v>
      </c>
      <c r="AI8" s="13">
        <f t="shared" ref="AI8" si="55">SUM($F9*AI9,$F17*AI17)/$F8</f>
        <v>0.19591836734693877</v>
      </c>
      <c r="AJ8" s="11">
        <f t="shared" ref="AJ8" si="56">SUM(AJ9,AJ17)</f>
        <v>15.25</v>
      </c>
      <c r="AK8" s="11">
        <f t="shared" ref="AK8" si="57">SUM(AK9,AK17)</f>
        <v>0</v>
      </c>
      <c r="AL8" s="13">
        <f t="shared" ref="AL8" si="58">SUM($F9*AL9,$F17*AL17)/$F8</f>
        <v>0.19591836734693877</v>
      </c>
      <c r="AM8" s="11">
        <f t="shared" ref="AM8" si="59">SUM(AM9,AM17)</f>
        <v>0</v>
      </c>
      <c r="AN8" s="11">
        <f t="shared" ref="AN8" si="60">SUM(AN9,AN17)</f>
        <v>0</v>
      </c>
      <c r="AO8" s="13">
        <f t="shared" ref="AO8" si="61">SUM($F9*AO9,$F17*AO17)/$F8</f>
        <v>0.19591836734693877</v>
      </c>
    </row>
    <row r="9" spans="1:41" x14ac:dyDescent="0.3">
      <c r="A9">
        <v>2</v>
      </c>
      <c r="B9" s="14" t="s">
        <v>13</v>
      </c>
      <c r="C9" s="37" t="s">
        <v>39</v>
      </c>
      <c r="D9" s="14"/>
      <c r="E9" s="14">
        <f>GANTT!$F$9</f>
        <v>80.5</v>
      </c>
      <c r="F9" s="16">
        <f>SUM(F10,F11,F12,F13,F14,F15,F16)</f>
        <v>80.5</v>
      </c>
      <c r="G9" s="16">
        <f>SUM(G10,G11,G12,G13,G14,G15,G16)</f>
        <v>28</v>
      </c>
      <c r="H9" s="17">
        <f>SUM($F10*H10,$F11*H11,$F12*H12,$F13*H13,$F14*H14,$F15*H15,$F16*H16)/$F9</f>
        <v>0.29813664596273293</v>
      </c>
      <c r="I9" s="16">
        <f t="shared" ref="I9:J9" si="62">SUM(I10,I11,I12,I13,I14,I15,I16)</f>
        <v>15.25</v>
      </c>
      <c r="J9" s="16">
        <f t="shared" si="62"/>
        <v>13</v>
      </c>
      <c r="K9" s="18">
        <f t="shared" ref="K9" si="63">SUM($F10*K10,$F11*K11,$F12*K12,$F13*K13,$F14*K14,$F15*K15,$F16*K16)/$F9</f>
        <v>7.4534161490683232E-2</v>
      </c>
      <c r="L9" s="16">
        <f t="shared" ref="L9" si="64">SUM(L10,L11,L12,L13,L14,L15,L16)</f>
        <v>15.25</v>
      </c>
      <c r="M9" s="16">
        <f t="shared" ref="M9" si="65">SUM(M10,M11,M12,M13,M14,M15,M16)</f>
        <v>15</v>
      </c>
      <c r="N9" s="18">
        <f t="shared" ref="N9" si="66">SUM($F10*N10,$F11*N11,$F12*N12,$F13*N13,$F14*N14,$F15*N15,$F16*N16)/$F9</f>
        <v>0.29813664596273293</v>
      </c>
      <c r="O9" s="16">
        <f t="shared" ref="O9" si="67">SUM(O10,O11,O12,O13,O14,O15,O16)</f>
        <v>3.25</v>
      </c>
      <c r="P9" s="16">
        <f t="shared" ref="P9" si="68">SUM(P10,P11,P12,P13,P14,P15,P16)</f>
        <v>0</v>
      </c>
      <c r="Q9" s="18">
        <f t="shared" ref="Q9" si="69">SUM($F10*Q10,$F11*Q11,$F12*Q12,$F13*Q13,$F14*Q14,$F15*Q15,$F16*Q16)/$F9</f>
        <v>0.29813664596273293</v>
      </c>
      <c r="R9" s="16">
        <f t="shared" ref="R9" si="70">SUM(R10,R11,R12,R13,R14,R15,R16)</f>
        <v>3.25</v>
      </c>
      <c r="S9" s="16">
        <f t="shared" ref="S9" si="71">SUM(S10,S11,S12,S13,S14,S15,S16)</f>
        <v>0</v>
      </c>
      <c r="T9" s="18">
        <f t="shared" ref="T9" si="72">SUM($F10*T10,$F11*T11,$F12*T12,$F13*T13,$F14*T14,$F15*T15,$F16*T16)/$F9</f>
        <v>0.29813664596273293</v>
      </c>
      <c r="U9" s="16">
        <f t="shared" ref="U9" si="73">SUM(U10,U11,U12,U13,U14,U15,U16)</f>
        <v>3.25</v>
      </c>
      <c r="V9" s="16">
        <f t="shared" ref="V9" si="74">SUM(V10,V11,V12,V13,V14,V15,V16)</f>
        <v>0</v>
      </c>
      <c r="W9" s="18">
        <f t="shared" ref="W9" si="75">SUM($F10*W10,$F11*W11,$F12*W12,$F13*W13,$F14*W14,$F15*W15,$F16*W16)/$F9</f>
        <v>0.29813664596273293</v>
      </c>
      <c r="X9" s="16">
        <f t="shared" ref="X9" si="76">SUM(X10,X11,X12,X13,X14,X15,X16)</f>
        <v>3.25</v>
      </c>
      <c r="Y9" s="16">
        <f t="shared" ref="Y9" si="77">SUM(Y10,Y11,Y12,Y13,Y14,Y15,Y16)</f>
        <v>0</v>
      </c>
      <c r="Z9" s="18">
        <f t="shared" ref="Z9" si="78">SUM($F10*Z10,$F11*Z11,$F12*Z12,$F13*Z13,$F14*Z14,$F15*Z15,$F16*Z16)/$F9</f>
        <v>0.29813664596273293</v>
      </c>
      <c r="AA9" s="16">
        <f t="shared" ref="AA9" si="79">SUM(AA10,AA11,AA12,AA13,AA14,AA15,AA16)</f>
        <v>3.25</v>
      </c>
      <c r="AB9" s="16">
        <f t="shared" ref="AB9" si="80">SUM(AB10,AB11,AB12,AB13,AB14,AB15,AB16)</f>
        <v>0</v>
      </c>
      <c r="AC9" s="18">
        <f t="shared" ref="AC9" si="81">SUM($F10*AC10,$F11*AC11,$F12*AC12,$F13*AC13,$F14*AC14,$F15*AC15,$F16*AC16)/$F9</f>
        <v>0.29813664596273293</v>
      </c>
      <c r="AD9" s="16">
        <f t="shared" ref="AD9" si="82">SUM(AD10,AD11,AD12,AD13,AD14,AD15,AD16)</f>
        <v>3.25</v>
      </c>
      <c r="AE9" s="16">
        <f t="shared" ref="AE9" si="83">SUM(AE10,AE11,AE12,AE13,AE14,AE15,AE16)</f>
        <v>0</v>
      </c>
      <c r="AF9" s="18">
        <f t="shared" ref="AF9" si="84">SUM($F10*AF10,$F11*AF11,$F12*AF12,$F13*AF13,$F14*AF14,$F15*AF15,$F16*AF16)/$F9</f>
        <v>0.29813664596273293</v>
      </c>
      <c r="AG9" s="16">
        <f t="shared" ref="AG9" si="85">SUM(AG10,AG11,AG12,AG13,AG14,AG15,AG16)</f>
        <v>15.25</v>
      </c>
      <c r="AH9" s="16">
        <f t="shared" ref="AH9" si="86">SUM(AH10,AH11,AH12,AH13,AH14,AH15,AH16)</f>
        <v>0</v>
      </c>
      <c r="AI9" s="18">
        <f t="shared" ref="AI9" si="87">SUM($F10*AI10,$F11*AI11,$F12*AI12,$F13*AI13,$F14*AI14,$F15*AI15,$F16*AI16)/$F9</f>
        <v>0.29813664596273293</v>
      </c>
      <c r="AJ9" s="16">
        <f t="shared" ref="AJ9" si="88">SUM(AJ10,AJ11,AJ12,AJ13,AJ14,AJ15,AJ16)</f>
        <v>15.25</v>
      </c>
      <c r="AK9" s="16">
        <f t="shared" ref="AK9" si="89">SUM(AK10,AK11,AK12,AK13,AK14,AK15,AK16)</f>
        <v>0</v>
      </c>
      <c r="AL9" s="18">
        <f t="shared" ref="AL9" si="90">SUM($F10*AL10,$F11*AL11,$F12*AL12,$F13*AL13,$F14*AL14,$F15*AL15,$F16*AL16)/$F9</f>
        <v>0.29813664596273293</v>
      </c>
      <c r="AM9" s="16">
        <f t="shared" ref="AM9" si="91">SUM(AM10,AM11,AM12,AM13,AM14,AM15,AM16)</f>
        <v>0</v>
      </c>
      <c r="AN9" s="16">
        <f t="shared" ref="AN9" si="92">SUM(AN10,AN11,AN12,AN13,AN14,AN15,AN16)</f>
        <v>0</v>
      </c>
      <c r="AO9" s="18">
        <f t="shared" ref="AO9" si="93">SUM($F10*AO10,$F11*AO11,$F12*AO12,$F13*AO13,$F14*AO14,$F15*AO15,$F16*AO16)/$F9</f>
        <v>0.29813664596273293</v>
      </c>
    </row>
    <row r="10" spans="1:41" x14ac:dyDescent="0.3">
      <c r="A10">
        <v>3</v>
      </c>
      <c r="B10" s="19" t="s">
        <v>15</v>
      </c>
      <c r="C10" s="36" t="s">
        <v>40</v>
      </c>
      <c r="D10" s="19"/>
      <c r="E10" s="19">
        <f>GANTT!$F$10</f>
        <v>24</v>
      </c>
      <c r="F10" s="21">
        <f>SUMPRODUCT(I5:$AO$5, $I$10:$AO$10)</f>
        <v>24</v>
      </c>
      <c r="G10" s="21">
        <f>SUMPRODUCT(I6:$AO$6, $I$10:$AO$10)</f>
        <v>28</v>
      </c>
      <c r="H10" s="22">
        <f t="shared" ref="H10:H16" si="94">AO10</f>
        <v>1</v>
      </c>
      <c r="I10" s="21">
        <f>SUM(W:F!I10)</f>
        <v>12</v>
      </c>
      <c r="J10" s="21">
        <f>SUM(W:F!J10)</f>
        <v>13</v>
      </c>
      <c r="K10" s="23">
        <v>0.25</v>
      </c>
      <c r="L10" s="21">
        <f>SUM(W:F!L10)</f>
        <v>12</v>
      </c>
      <c r="M10" s="21">
        <f>SUM(W:F!M10)</f>
        <v>15</v>
      </c>
      <c r="N10" s="23">
        <v>1</v>
      </c>
      <c r="O10" s="21">
        <f>SUM(W:F!O10)</f>
        <v>0</v>
      </c>
      <c r="P10" s="21">
        <f>SUM(W:F!P10)</f>
        <v>0</v>
      </c>
      <c r="Q10" s="23">
        <f t="shared" ref="Q10:Q16" si="95">N10</f>
        <v>1</v>
      </c>
      <c r="R10" s="21">
        <f>SUM(W:F!R10)</f>
        <v>0</v>
      </c>
      <c r="S10" s="21">
        <f>SUM(W:F!S10)</f>
        <v>0</v>
      </c>
      <c r="T10" s="23">
        <f t="shared" ref="T10:T16" si="96">Q10</f>
        <v>1</v>
      </c>
      <c r="U10" s="21">
        <f>SUM(W:F!U10)</f>
        <v>0</v>
      </c>
      <c r="V10" s="21">
        <f>SUM(W:F!V10)</f>
        <v>0</v>
      </c>
      <c r="W10" s="23">
        <f t="shared" ref="W10:W16" si="97">T10</f>
        <v>1</v>
      </c>
      <c r="X10" s="21">
        <f>SUM(W:F!X10)</f>
        <v>0</v>
      </c>
      <c r="Y10" s="21">
        <f>SUM(W:F!Y10)</f>
        <v>0</v>
      </c>
      <c r="Z10" s="23">
        <f t="shared" ref="Z10:Z16" si="98">W10</f>
        <v>1</v>
      </c>
      <c r="AA10" s="21">
        <f>SUM(W:F!AA10)</f>
        <v>0</v>
      </c>
      <c r="AB10" s="21">
        <f>SUM(W:F!AB10)</f>
        <v>0</v>
      </c>
      <c r="AC10" s="23">
        <f t="shared" ref="AC10:AC16" si="99">Z10</f>
        <v>1</v>
      </c>
      <c r="AD10" s="21">
        <f>SUM(W:F!AD10)</f>
        <v>0</v>
      </c>
      <c r="AE10" s="21">
        <f>SUM(W:F!AE10)</f>
        <v>0</v>
      </c>
      <c r="AF10" s="23">
        <f t="shared" ref="AF10:AF16" si="100">AC10</f>
        <v>1</v>
      </c>
      <c r="AG10" s="21">
        <f>SUM(W:F!AG10)</f>
        <v>0</v>
      </c>
      <c r="AH10" s="21">
        <f>SUM(W:F!AH10)</f>
        <v>0</v>
      </c>
      <c r="AI10" s="23">
        <f t="shared" ref="AI10:AI16" si="101">AF10</f>
        <v>1</v>
      </c>
      <c r="AJ10" s="21">
        <f>SUM(W:F!AJ10)</f>
        <v>0</v>
      </c>
      <c r="AK10" s="21">
        <f>SUM(W:F!AK10)</f>
        <v>0</v>
      </c>
      <c r="AL10" s="23">
        <f t="shared" ref="AL10:AL16" si="102">AI10</f>
        <v>1</v>
      </c>
      <c r="AM10" s="21">
        <f>SUM(W:F!AM10)</f>
        <v>0</v>
      </c>
      <c r="AN10" s="21">
        <f>SUM(W:F!AN10)</f>
        <v>0</v>
      </c>
      <c r="AO10" s="23">
        <f t="shared" ref="AO10:AO16" si="103">AL10</f>
        <v>1</v>
      </c>
    </row>
    <row r="11" spans="1:41" x14ac:dyDescent="0.3">
      <c r="A11">
        <v>3</v>
      </c>
      <c r="B11" s="19" t="s">
        <v>17</v>
      </c>
      <c r="C11" s="36" t="s">
        <v>41</v>
      </c>
      <c r="D11" s="19"/>
      <c r="E11" s="19">
        <f>GANTT!$F$11</f>
        <v>0</v>
      </c>
      <c r="F11" s="21">
        <f>SUMPRODUCT(I5:$AO$5, $I$11:$AO$11)</f>
        <v>0</v>
      </c>
      <c r="G11" s="21">
        <f>SUMPRODUCT(I6:$AO$6, $I$11:$AO$11)</f>
        <v>0</v>
      </c>
      <c r="H11" s="22">
        <f t="shared" si="94"/>
        <v>0</v>
      </c>
      <c r="I11" s="21">
        <f>SUM(W:F!I11)</f>
        <v>0</v>
      </c>
      <c r="J11" s="21">
        <f>SUM(W:F!J11)</f>
        <v>0</v>
      </c>
      <c r="K11" s="23"/>
      <c r="L11" s="21">
        <f>SUM(W:F!L11)</f>
        <v>0</v>
      </c>
      <c r="M11" s="21">
        <f>SUM(W:F!M11)</f>
        <v>0</v>
      </c>
      <c r="N11" s="23">
        <f t="shared" ref="N10:N16" si="104">K11</f>
        <v>0</v>
      </c>
      <c r="O11" s="21">
        <f>SUM(W:F!O11)</f>
        <v>0</v>
      </c>
      <c r="P11" s="21">
        <f>SUM(W:F!P11)</f>
        <v>0</v>
      </c>
      <c r="Q11" s="23">
        <f t="shared" si="95"/>
        <v>0</v>
      </c>
      <c r="R11" s="21">
        <f>SUM(W:F!R11)</f>
        <v>0</v>
      </c>
      <c r="S11" s="21">
        <f>SUM(W:F!S11)</f>
        <v>0</v>
      </c>
      <c r="T11" s="23">
        <f t="shared" si="96"/>
        <v>0</v>
      </c>
      <c r="U11" s="21">
        <f>SUM(W:F!U11)</f>
        <v>0</v>
      </c>
      <c r="V11" s="21">
        <f>SUM(W:F!V11)</f>
        <v>0</v>
      </c>
      <c r="W11" s="23">
        <f t="shared" si="97"/>
        <v>0</v>
      </c>
      <c r="X11" s="21">
        <f>SUM(W:F!X11)</f>
        <v>0</v>
      </c>
      <c r="Y11" s="21">
        <f>SUM(W:F!Y11)</f>
        <v>0</v>
      </c>
      <c r="Z11" s="23">
        <f t="shared" si="98"/>
        <v>0</v>
      </c>
      <c r="AA11" s="21">
        <f>SUM(W:F!AA11)</f>
        <v>0</v>
      </c>
      <c r="AB11" s="21">
        <f>SUM(W:F!AB11)</f>
        <v>0</v>
      </c>
      <c r="AC11" s="23">
        <f t="shared" si="99"/>
        <v>0</v>
      </c>
      <c r="AD11" s="21">
        <f>SUM(W:F!AD11)</f>
        <v>0</v>
      </c>
      <c r="AE11" s="21">
        <f>SUM(W:F!AE11)</f>
        <v>0</v>
      </c>
      <c r="AF11" s="23">
        <f t="shared" si="100"/>
        <v>0</v>
      </c>
      <c r="AG11" s="21">
        <f>SUM(W:F!AG11)</f>
        <v>0</v>
      </c>
      <c r="AH11" s="21">
        <f>SUM(W:F!AH11)</f>
        <v>0</v>
      </c>
      <c r="AI11" s="23">
        <f t="shared" si="101"/>
        <v>0</v>
      </c>
      <c r="AJ11" s="21">
        <f>SUM(W:F!AJ11)</f>
        <v>0</v>
      </c>
      <c r="AK11" s="21">
        <f>SUM(W:F!AK11)</f>
        <v>0</v>
      </c>
      <c r="AL11" s="23">
        <f t="shared" si="102"/>
        <v>0</v>
      </c>
      <c r="AM11" s="21">
        <f>SUM(W:F!AM11)</f>
        <v>0</v>
      </c>
      <c r="AN11" s="21">
        <f>SUM(W:F!AN11)</f>
        <v>0</v>
      </c>
      <c r="AO11" s="23">
        <f t="shared" si="103"/>
        <v>0</v>
      </c>
    </row>
    <row r="12" spans="1:41" x14ac:dyDescent="0.3">
      <c r="A12">
        <v>3</v>
      </c>
      <c r="B12" s="19" t="s">
        <v>19</v>
      </c>
      <c r="C12" s="36" t="s">
        <v>42</v>
      </c>
      <c r="D12" s="19"/>
      <c r="E12" s="19">
        <f>GANTT!$F$12</f>
        <v>7.5</v>
      </c>
      <c r="F12" s="21">
        <f>SUMPRODUCT(I5:$AO$5, $I$12:$AO$12)</f>
        <v>7.5</v>
      </c>
      <c r="G12" s="21">
        <f>SUMPRODUCT(I6:$AO$6, $I$12:$AO$12)</f>
        <v>0</v>
      </c>
      <c r="H12" s="22">
        <f t="shared" si="94"/>
        <v>0</v>
      </c>
      <c r="I12" s="21">
        <f>SUM(W:F!I12)</f>
        <v>0.75</v>
      </c>
      <c r="J12" s="21">
        <f>SUM(W:F!J12)</f>
        <v>0</v>
      </c>
      <c r="K12" s="23"/>
      <c r="L12" s="21">
        <f>SUM(W:F!L12)</f>
        <v>0.75</v>
      </c>
      <c r="M12" s="21">
        <f>SUM(W:F!M12)</f>
        <v>0</v>
      </c>
      <c r="N12" s="23">
        <f t="shared" si="104"/>
        <v>0</v>
      </c>
      <c r="O12" s="21">
        <f>SUM(W:F!O12)</f>
        <v>0.75</v>
      </c>
      <c r="P12" s="21">
        <f>SUM(W:F!P12)</f>
        <v>0</v>
      </c>
      <c r="Q12" s="23">
        <f t="shared" si="95"/>
        <v>0</v>
      </c>
      <c r="R12" s="21">
        <f>SUM(W:F!R12)</f>
        <v>0.75</v>
      </c>
      <c r="S12" s="21">
        <f>SUM(W:F!S12)</f>
        <v>0</v>
      </c>
      <c r="T12" s="23">
        <f t="shared" si="96"/>
        <v>0</v>
      </c>
      <c r="U12" s="21">
        <f>SUM(W:F!U12)</f>
        <v>0.75</v>
      </c>
      <c r="V12" s="21">
        <f>SUM(W:F!V12)</f>
        <v>0</v>
      </c>
      <c r="W12" s="23">
        <f t="shared" si="97"/>
        <v>0</v>
      </c>
      <c r="X12" s="21">
        <f>SUM(W:F!X12)</f>
        <v>0.75</v>
      </c>
      <c r="Y12" s="21">
        <f>SUM(W:F!Y12)</f>
        <v>0</v>
      </c>
      <c r="Z12" s="23">
        <f t="shared" si="98"/>
        <v>0</v>
      </c>
      <c r="AA12" s="21">
        <f>SUM(W:F!AA12)</f>
        <v>0.75</v>
      </c>
      <c r="AB12" s="21">
        <f>SUM(W:F!AB12)</f>
        <v>0</v>
      </c>
      <c r="AC12" s="23">
        <f t="shared" si="99"/>
        <v>0</v>
      </c>
      <c r="AD12" s="21">
        <f>SUM(W:F!AD12)</f>
        <v>0.75</v>
      </c>
      <c r="AE12" s="21">
        <f>SUM(W:F!AE12)</f>
        <v>0</v>
      </c>
      <c r="AF12" s="23">
        <f t="shared" si="100"/>
        <v>0</v>
      </c>
      <c r="AG12" s="21">
        <f>SUM(W:F!AG12)</f>
        <v>0.75</v>
      </c>
      <c r="AH12" s="21">
        <f>SUM(W:F!AH12)</f>
        <v>0</v>
      </c>
      <c r="AI12" s="23">
        <f t="shared" si="101"/>
        <v>0</v>
      </c>
      <c r="AJ12" s="21">
        <f>SUM(W:F!AJ12)</f>
        <v>0.75</v>
      </c>
      <c r="AK12" s="21">
        <f>SUM(W:F!AK12)</f>
        <v>0</v>
      </c>
      <c r="AL12" s="23">
        <f t="shared" si="102"/>
        <v>0</v>
      </c>
      <c r="AM12" s="21">
        <f>SUM(W:F!AM12)</f>
        <v>0</v>
      </c>
      <c r="AN12" s="21">
        <f>SUM(W:F!AN12)</f>
        <v>0</v>
      </c>
      <c r="AO12" s="23">
        <f t="shared" si="103"/>
        <v>0</v>
      </c>
    </row>
    <row r="13" spans="1:41" x14ac:dyDescent="0.3">
      <c r="A13">
        <v>3</v>
      </c>
      <c r="B13" s="19" t="s">
        <v>43</v>
      </c>
      <c r="C13" s="36" t="s">
        <v>44</v>
      </c>
      <c r="D13" s="19"/>
      <c r="E13" s="19">
        <f>GANTT!$F$13</f>
        <v>15</v>
      </c>
      <c r="F13" s="21">
        <f>SUMPRODUCT(I5:$AO$5, $I$13:$AO$13)</f>
        <v>15</v>
      </c>
      <c r="G13" s="21">
        <f>SUMPRODUCT(I6:$AO$6, $I$13:$AO$13)</f>
        <v>0</v>
      </c>
      <c r="H13" s="22">
        <f t="shared" si="94"/>
        <v>0</v>
      </c>
      <c r="I13" s="21">
        <f>SUM(W:F!I13)</f>
        <v>1.5</v>
      </c>
      <c r="J13" s="21">
        <f>SUM(W:F!J13)</f>
        <v>0</v>
      </c>
      <c r="K13" s="23"/>
      <c r="L13" s="21">
        <f>SUM(W:F!L13)</f>
        <v>1.5</v>
      </c>
      <c r="M13" s="21">
        <f>SUM(W:F!M13)</f>
        <v>0</v>
      </c>
      <c r="N13" s="23">
        <f t="shared" si="104"/>
        <v>0</v>
      </c>
      <c r="O13" s="21">
        <f>SUM(W:F!O13)</f>
        <v>1.5</v>
      </c>
      <c r="P13" s="21">
        <f>SUM(W:F!P13)</f>
        <v>0</v>
      </c>
      <c r="Q13" s="23">
        <f t="shared" si="95"/>
        <v>0</v>
      </c>
      <c r="R13" s="21">
        <f>SUM(W:F!R13)</f>
        <v>1.5</v>
      </c>
      <c r="S13" s="21">
        <f>SUM(W:F!S13)</f>
        <v>0</v>
      </c>
      <c r="T13" s="23">
        <f t="shared" si="96"/>
        <v>0</v>
      </c>
      <c r="U13" s="21">
        <f>SUM(W:F!U13)</f>
        <v>1.5</v>
      </c>
      <c r="V13" s="21">
        <f>SUM(W:F!V13)</f>
        <v>0</v>
      </c>
      <c r="W13" s="23">
        <f t="shared" si="97"/>
        <v>0</v>
      </c>
      <c r="X13" s="21">
        <f>SUM(W:F!X13)</f>
        <v>1.5</v>
      </c>
      <c r="Y13" s="21">
        <f>SUM(W:F!Y13)</f>
        <v>0</v>
      </c>
      <c r="Z13" s="23">
        <f t="shared" si="98"/>
        <v>0</v>
      </c>
      <c r="AA13" s="21">
        <f>SUM(W:F!AA13)</f>
        <v>1.5</v>
      </c>
      <c r="AB13" s="21">
        <f>SUM(W:F!AB13)</f>
        <v>0</v>
      </c>
      <c r="AC13" s="23">
        <f t="shared" si="99"/>
        <v>0</v>
      </c>
      <c r="AD13" s="21">
        <f>SUM(W:F!AD13)</f>
        <v>1.5</v>
      </c>
      <c r="AE13" s="21">
        <f>SUM(W:F!AE13)</f>
        <v>0</v>
      </c>
      <c r="AF13" s="23">
        <f t="shared" si="100"/>
        <v>0</v>
      </c>
      <c r="AG13" s="21">
        <f>SUM(W:F!AG13)</f>
        <v>1.5</v>
      </c>
      <c r="AH13" s="21">
        <f>SUM(W:F!AH13)</f>
        <v>0</v>
      </c>
      <c r="AI13" s="23">
        <f t="shared" si="101"/>
        <v>0</v>
      </c>
      <c r="AJ13" s="21">
        <f>SUM(W:F!AJ13)</f>
        <v>1.5</v>
      </c>
      <c r="AK13" s="21">
        <f>SUM(W:F!AK13)</f>
        <v>0</v>
      </c>
      <c r="AL13" s="23">
        <f t="shared" si="102"/>
        <v>0</v>
      </c>
      <c r="AM13" s="21">
        <f>SUM(W:F!AM13)</f>
        <v>0</v>
      </c>
      <c r="AN13" s="21">
        <f>SUM(W:F!AN13)</f>
        <v>0</v>
      </c>
      <c r="AO13" s="23">
        <f t="shared" si="103"/>
        <v>0</v>
      </c>
    </row>
    <row r="14" spans="1:41" x14ac:dyDescent="0.3">
      <c r="A14">
        <v>3</v>
      </c>
      <c r="B14" s="19" t="s">
        <v>45</v>
      </c>
      <c r="C14" s="36" t="s">
        <v>46</v>
      </c>
      <c r="D14" s="19"/>
      <c r="E14" s="19">
        <f>GANTT!$F$14</f>
        <v>10</v>
      </c>
      <c r="F14" s="21">
        <f>SUMPRODUCT(I5:$AO$5, $I$14:$AO$14)</f>
        <v>10</v>
      </c>
      <c r="G14" s="21">
        <f>SUMPRODUCT(I6:$AO$6, $I$14:$AO$14)</f>
        <v>0</v>
      </c>
      <c r="H14" s="22">
        <f t="shared" si="94"/>
        <v>0</v>
      </c>
      <c r="I14" s="21">
        <f>SUM(W:F!I14)</f>
        <v>1</v>
      </c>
      <c r="J14" s="21">
        <f>SUM(W:F!J14)</f>
        <v>0</v>
      </c>
      <c r="K14" s="23"/>
      <c r="L14" s="21">
        <f>SUM(W:F!L14)</f>
        <v>1</v>
      </c>
      <c r="M14" s="21">
        <f>SUM(W:F!M14)</f>
        <v>0</v>
      </c>
      <c r="N14" s="23">
        <f t="shared" si="104"/>
        <v>0</v>
      </c>
      <c r="O14" s="21">
        <f>SUM(W:F!O14)</f>
        <v>1</v>
      </c>
      <c r="P14" s="21">
        <f>SUM(W:F!P14)</f>
        <v>0</v>
      </c>
      <c r="Q14" s="23">
        <f t="shared" si="95"/>
        <v>0</v>
      </c>
      <c r="R14" s="21">
        <f>SUM(W:F!R14)</f>
        <v>1</v>
      </c>
      <c r="S14" s="21">
        <f>SUM(W:F!S14)</f>
        <v>0</v>
      </c>
      <c r="T14" s="23">
        <f t="shared" si="96"/>
        <v>0</v>
      </c>
      <c r="U14" s="21">
        <f>SUM(W:F!U14)</f>
        <v>1</v>
      </c>
      <c r="V14" s="21">
        <f>SUM(W:F!V14)</f>
        <v>0</v>
      </c>
      <c r="W14" s="23">
        <f t="shared" si="97"/>
        <v>0</v>
      </c>
      <c r="X14" s="21">
        <f>SUM(W:F!X14)</f>
        <v>1</v>
      </c>
      <c r="Y14" s="21">
        <f>SUM(W:F!Y14)</f>
        <v>0</v>
      </c>
      <c r="Z14" s="23">
        <f t="shared" si="98"/>
        <v>0</v>
      </c>
      <c r="AA14" s="21">
        <f>SUM(W:F!AA14)</f>
        <v>1</v>
      </c>
      <c r="AB14" s="21">
        <f>SUM(W:F!AB14)</f>
        <v>0</v>
      </c>
      <c r="AC14" s="23">
        <f t="shared" si="99"/>
        <v>0</v>
      </c>
      <c r="AD14" s="21">
        <f>SUM(W:F!AD14)</f>
        <v>1</v>
      </c>
      <c r="AE14" s="21">
        <f>SUM(W:F!AE14)</f>
        <v>0</v>
      </c>
      <c r="AF14" s="23">
        <f t="shared" si="100"/>
        <v>0</v>
      </c>
      <c r="AG14" s="21">
        <f>SUM(W:F!AG14)</f>
        <v>1</v>
      </c>
      <c r="AH14" s="21">
        <f>SUM(W:F!AH14)</f>
        <v>0</v>
      </c>
      <c r="AI14" s="23">
        <f t="shared" si="101"/>
        <v>0</v>
      </c>
      <c r="AJ14" s="21">
        <f>SUM(W:F!AJ14)</f>
        <v>1</v>
      </c>
      <c r="AK14" s="21">
        <f>SUM(W:F!AK14)</f>
        <v>0</v>
      </c>
      <c r="AL14" s="23">
        <f t="shared" si="102"/>
        <v>0</v>
      </c>
      <c r="AM14" s="21">
        <f>SUM(W:F!AM14)</f>
        <v>0</v>
      </c>
      <c r="AN14" s="21">
        <f>SUM(W:F!AN14)</f>
        <v>0</v>
      </c>
      <c r="AO14" s="23">
        <f t="shared" si="103"/>
        <v>0</v>
      </c>
    </row>
    <row r="15" spans="1:41" x14ac:dyDescent="0.3">
      <c r="A15">
        <v>3</v>
      </c>
      <c r="B15" s="19" t="s">
        <v>47</v>
      </c>
      <c r="C15" s="36" t="s">
        <v>48</v>
      </c>
      <c r="D15" s="19"/>
      <c r="E15" s="19">
        <f>GANTT!$F$15</f>
        <v>24</v>
      </c>
      <c r="F15" s="21">
        <f>SUMPRODUCT(I5:$AO$5, $I$15:$AO$15)</f>
        <v>24</v>
      </c>
      <c r="G15" s="21">
        <f>SUMPRODUCT(I6:$AO$6, $I$15:$AO$15)</f>
        <v>0</v>
      </c>
      <c r="H15" s="22">
        <f t="shared" si="94"/>
        <v>0</v>
      </c>
      <c r="I15" s="21">
        <f>SUM(W:F!I15)</f>
        <v>0</v>
      </c>
      <c r="J15" s="21">
        <f>SUM(W:F!J15)</f>
        <v>0</v>
      </c>
      <c r="K15" s="23"/>
      <c r="L15" s="21">
        <f>SUM(W:F!L15)</f>
        <v>0</v>
      </c>
      <c r="M15" s="21">
        <f>SUM(W:F!M15)</f>
        <v>0</v>
      </c>
      <c r="N15" s="23">
        <f t="shared" si="104"/>
        <v>0</v>
      </c>
      <c r="O15" s="21">
        <f>SUM(W:F!O15)</f>
        <v>0</v>
      </c>
      <c r="P15" s="21">
        <f>SUM(W:F!P15)</f>
        <v>0</v>
      </c>
      <c r="Q15" s="23">
        <f t="shared" si="95"/>
        <v>0</v>
      </c>
      <c r="R15" s="21">
        <f>SUM(W:F!R15)</f>
        <v>0</v>
      </c>
      <c r="S15" s="21">
        <f>SUM(W:F!S15)</f>
        <v>0</v>
      </c>
      <c r="T15" s="23">
        <f t="shared" si="96"/>
        <v>0</v>
      </c>
      <c r="U15" s="21">
        <f>SUM(W:F!U15)</f>
        <v>0</v>
      </c>
      <c r="V15" s="21">
        <f>SUM(W:F!V15)</f>
        <v>0</v>
      </c>
      <c r="W15" s="23">
        <f t="shared" si="97"/>
        <v>0</v>
      </c>
      <c r="X15" s="21">
        <f>SUM(W:F!X15)</f>
        <v>0</v>
      </c>
      <c r="Y15" s="21">
        <f>SUM(W:F!Y15)</f>
        <v>0</v>
      </c>
      <c r="Z15" s="23">
        <f t="shared" si="98"/>
        <v>0</v>
      </c>
      <c r="AA15" s="21">
        <f>SUM(W:F!AA15)</f>
        <v>0</v>
      </c>
      <c r="AB15" s="21">
        <f>SUM(W:F!AB15)</f>
        <v>0</v>
      </c>
      <c r="AC15" s="23">
        <f t="shared" si="99"/>
        <v>0</v>
      </c>
      <c r="AD15" s="21">
        <f>SUM(W:F!AD15)</f>
        <v>0</v>
      </c>
      <c r="AE15" s="21">
        <f>SUM(W:F!AE15)</f>
        <v>0</v>
      </c>
      <c r="AF15" s="23">
        <f t="shared" si="100"/>
        <v>0</v>
      </c>
      <c r="AG15" s="21">
        <f>SUM(W:F!AG15)</f>
        <v>12</v>
      </c>
      <c r="AH15" s="21">
        <f>SUM(W:F!AH15)</f>
        <v>0</v>
      </c>
      <c r="AI15" s="23">
        <f t="shared" si="101"/>
        <v>0</v>
      </c>
      <c r="AJ15" s="21">
        <f>SUM(W:F!AJ15)</f>
        <v>12</v>
      </c>
      <c r="AK15" s="21">
        <f>SUM(W:F!AK15)</f>
        <v>0</v>
      </c>
      <c r="AL15" s="23">
        <f t="shared" si="102"/>
        <v>0</v>
      </c>
      <c r="AM15" s="21">
        <f>SUM(W:F!AM15)</f>
        <v>0</v>
      </c>
      <c r="AN15" s="21">
        <f>SUM(W:F!AN15)</f>
        <v>0</v>
      </c>
      <c r="AO15" s="23">
        <f t="shared" si="103"/>
        <v>0</v>
      </c>
    </row>
    <row r="16" spans="1:41" x14ac:dyDescent="0.3">
      <c r="A16">
        <v>3</v>
      </c>
      <c r="B16" s="19" t="s">
        <v>49</v>
      </c>
      <c r="C16" s="36" t="s">
        <v>50</v>
      </c>
      <c r="D16" s="19"/>
      <c r="E16" s="19">
        <f>GANTT!$F$16</f>
        <v>0</v>
      </c>
      <c r="F16" s="21">
        <f>SUMPRODUCT(I5:$AO$5, $I$16:$AO$16)</f>
        <v>0</v>
      </c>
      <c r="G16" s="21">
        <f>SUMPRODUCT(I6:$AO$6, $I$16:$AO$16)</f>
        <v>0</v>
      </c>
      <c r="H16" s="22">
        <f t="shared" si="94"/>
        <v>0</v>
      </c>
      <c r="I16" s="21">
        <f>SUM(W:F!I16)</f>
        <v>0</v>
      </c>
      <c r="J16" s="21">
        <f>SUM(W:F!J16)</f>
        <v>0</v>
      </c>
      <c r="K16" s="23"/>
      <c r="L16" s="21">
        <f>SUM(W:F!L16)</f>
        <v>0</v>
      </c>
      <c r="M16" s="21">
        <f>SUM(W:F!M16)</f>
        <v>0</v>
      </c>
      <c r="N16" s="23">
        <f t="shared" si="104"/>
        <v>0</v>
      </c>
      <c r="O16" s="21">
        <f>SUM(W:F!O16)</f>
        <v>0</v>
      </c>
      <c r="P16" s="21">
        <f>SUM(W:F!P16)</f>
        <v>0</v>
      </c>
      <c r="Q16" s="23">
        <f t="shared" si="95"/>
        <v>0</v>
      </c>
      <c r="R16" s="21">
        <f>SUM(W:F!R16)</f>
        <v>0</v>
      </c>
      <c r="S16" s="21">
        <f>SUM(W:F!S16)</f>
        <v>0</v>
      </c>
      <c r="T16" s="23">
        <f t="shared" si="96"/>
        <v>0</v>
      </c>
      <c r="U16" s="21">
        <f>SUM(W:F!U16)</f>
        <v>0</v>
      </c>
      <c r="V16" s="21">
        <f>SUM(W:F!V16)</f>
        <v>0</v>
      </c>
      <c r="W16" s="23">
        <f t="shared" si="97"/>
        <v>0</v>
      </c>
      <c r="X16" s="21">
        <f>SUM(W:F!X16)</f>
        <v>0</v>
      </c>
      <c r="Y16" s="21">
        <f>SUM(W:F!Y16)</f>
        <v>0</v>
      </c>
      <c r="Z16" s="23">
        <f t="shared" si="98"/>
        <v>0</v>
      </c>
      <c r="AA16" s="21">
        <f>SUM(W:F!AA16)</f>
        <v>0</v>
      </c>
      <c r="AB16" s="21">
        <f>SUM(W:F!AB16)</f>
        <v>0</v>
      </c>
      <c r="AC16" s="23">
        <f t="shared" si="99"/>
        <v>0</v>
      </c>
      <c r="AD16" s="21">
        <f>SUM(W:F!AD16)</f>
        <v>0</v>
      </c>
      <c r="AE16" s="21">
        <f>SUM(W:F!AE16)</f>
        <v>0</v>
      </c>
      <c r="AF16" s="23">
        <f t="shared" si="100"/>
        <v>0</v>
      </c>
      <c r="AG16" s="21">
        <f>SUM(W:F!AG16)</f>
        <v>0</v>
      </c>
      <c r="AH16" s="21">
        <f>SUM(W:F!AH16)</f>
        <v>0</v>
      </c>
      <c r="AI16" s="23">
        <f t="shared" si="101"/>
        <v>0</v>
      </c>
      <c r="AJ16" s="21">
        <f>SUM(W:F!AJ16)</f>
        <v>0</v>
      </c>
      <c r="AK16" s="21">
        <f>SUM(W:F!AK16)</f>
        <v>0</v>
      </c>
      <c r="AL16" s="23">
        <f t="shared" si="102"/>
        <v>0</v>
      </c>
      <c r="AM16" s="21">
        <f>SUM(W:F!AM16)</f>
        <v>0</v>
      </c>
      <c r="AN16" s="21">
        <f>SUM(W:F!AN16)</f>
        <v>0</v>
      </c>
      <c r="AO16" s="23">
        <f t="shared" si="103"/>
        <v>0</v>
      </c>
    </row>
    <row r="17" spans="1:41" x14ac:dyDescent="0.3">
      <c r="A17">
        <v>2</v>
      </c>
      <c r="B17" s="14" t="s">
        <v>51</v>
      </c>
      <c r="C17" s="37" t="s">
        <v>52</v>
      </c>
      <c r="D17" s="14"/>
      <c r="E17" s="14">
        <f>GANTT!$F$17</f>
        <v>42</v>
      </c>
      <c r="F17" s="16">
        <f>SUM(F18,F19,F20,F21)</f>
        <v>42</v>
      </c>
      <c r="G17" s="16">
        <f>SUM(G18,G19,G20,G21)</f>
        <v>0</v>
      </c>
      <c r="H17" s="17">
        <f>SUM($F18*H18,$F19*H19,$F20*H20,$F21*H21)/$F17</f>
        <v>0</v>
      </c>
      <c r="I17" s="16">
        <f t="shared" ref="I17:J17" si="105">SUM(I18,I19,I20,I21)</f>
        <v>0</v>
      </c>
      <c r="J17" s="16">
        <f t="shared" si="105"/>
        <v>0</v>
      </c>
      <c r="K17" s="18">
        <f t="shared" ref="K17" si="106">SUM($F18*K18,$F19*K19,$F20*K20,$F21*K21)/$F17</f>
        <v>0</v>
      </c>
      <c r="L17" s="16">
        <f t="shared" ref="L17" si="107">SUM(L18,L19,L20,L21)</f>
        <v>0</v>
      </c>
      <c r="M17" s="16">
        <f t="shared" ref="M17" si="108">SUM(M18,M19,M20,M21)</f>
        <v>0</v>
      </c>
      <c r="N17" s="18">
        <f t="shared" ref="N17" si="109">SUM($F18*N18,$F19*N19,$F20*N20,$F21*N21)/$F17</f>
        <v>0</v>
      </c>
      <c r="O17" s="16">
        <f t="shared" ref="O17" si="110">SUM(O18,O19,O20,O21)</f>
        <v>10</v>
      </c>
      <c r="P17" s="16">
        <f t="shared" ref="P17" si="111">SUM(P18,P19,P20,P21)</f>
        <v>0</v>
      </c>
      <c r="Q17" s="18">
        <f t="shared" ref="Q17" si="112">SUM($F18*Q18,$F19*Q19,$F20*Q20,$F21*Q21)/$F17</f>
        <v>0</v>
      </c>
      <c r="R17" s="16">
        <f t="shared" ref="R17" si="113">SUM(R18,R19,R20,R21)</f>
        <v>13</v>
      </c>
      <c r="S17" s="16">
        <f t="shared" ref="S17" si="114">SUM(S18,S19,S20,S21)</f>
        <v>0</v>
      </c>
      <c r="T17" s="18">
        <f t="shared" ref="T17" si="115">SUM($F18*T18,$F19*T19,$F20*T20,$F21*T21)/$F17</f>
        <v>0</v>
      </c>
      <c r="U17" s="16">
        <f t="shared" ref="U17" si="116">SUM(U18,U19,U20,U21)</f>
        <v>13</v>
      </c>
      <c r="V17" s="16">
        <f t="shared" ref="V17" si="117">SUM(V18,V19,V20,V21)</f>
        <v>0</v>
      </c>
      <c r="W17" s="18">
        <f t="shared" ref="W17" si="118">SUM($F18*W18,$F19*W19,$F20*W20,$F21*W21)/$F17</f>
        <v>0</v>
      </c>
      <c r="X17" s="16">
        <f t="shared" ref="X17" si="119">SUM(X18,X19,X20,X21)</f>
        <v>6</v>
      </c>
      <c r="Y17" s="16">
        <f t="shared" ref="Y17" si="120">SUM(Y18,Y19,Y20,Y21)</f>
        <v>0</v>
      </c>
      <c r="Z17" s="18">
        <f t="shared" ref="Z17" si="121">SUM($F18*Z18,$F19*Z19,$F20*Z20,$F21*Z21)/$F17</f>
        <v>0</v>
      </c>
      <c r="AA17" s="16">
        <f t="shared" ref="AA17" si="122">SUM(AA18,AA19,AA20,AA21)</f>
        <v>0</v>
      </c>
      <c r="AB17" s="16">
        <f t="shared" ref="AB17" si="123">SUM(AB18,AB19,AB20,AB21)</f>
        <v>0</v>
      </c>
      <c r="AC17" s="18">
        <f t="shared" ref="AC17" si="124">SUM($F18*AC18,$F19*AC19,$F20*AC20,$F21*AC21)/$F17</f>
        <v>0</v>
      </c>
      <c r="AD17" s="16">
        <f t="shared" ref="AD17" si="125">SUM(AD18,AD19,AD20,AD21)</f>
        <v>0</v>
      </c>
      <c r="AE17" s="16">
        <f t="shared" ref="AE17" si="126">SUM(AE18,AE19,AE20,AE21)</f>
        <v>0</v>
      </c>
      <c r="AF17" s="18">
        <f t="shared" ref="AF17" si="127">SUM($F18*AF18,$F19*AF19,$F20*AF20,$F21*AF21)/$F17</f>
        <v>0</v>
      </c>
      <c r="AG17" s="16">
        <f t="shared" ref="AG17" si="128">SUM(AG18,AG19,AG20,AG21)</f>
        <v>0</v>
      </c>
      <c r="AH17" s="16">
        <f t="shared" ref="AH17" si="129">SUM(AH18,AH19,AH20,AH21)</f>
        <v>0</v>
      </c>
      <c r="AI17" s="18">
        <f t="shared" ref="AI17" si="130">SUM($F18*AI18,$F19*AI19,$F20*AI20,$F21*AI21)/$F17</f>
        <v>0</v>
      </c>
      <c r="AJ17" s="16">
        <f t="shared" ref="AJ17" si="131">SUM(AJ18,AJ19,AJ20,AJ21)</f>
        <v>0</v>
      </c>
      <c r="AK17" s="16">
        <f t="shared" ref="AK17" si="132">SUM(AK18,AK19,AK20,AK21)</f>
        <v>0</v>
      </c>
      <c r="AL17" s="18">
        <f t="shared" ref="AL17" si="133">SUM($F18*AL18,$F19*AL19,$F20*AL20,$F21*AL21)/$F17</f>
        <v>0</v>
      </c>
      <c r="AM17" s="16">
        <f t="shared" ref="AM17" si="134">SUM(AM18,AM19,AM20,AM21)</f>
        <v>0</v>
      </c>
      <c r="AN17" s="16">
        <f t="shared" ref="AN17" si="135">SUM(AN18,AN19,AN20,AN21)</f>
        <v>0</v>
      </c>
      <c r="AO17" s="18">
        <f t="shared" ref="AO17" si="136">SUM($F18*AO18,$F19*AO19,$F20*AO20,$F21*AO21)/$F17</f>
        <v>0</v>
      </c>
    </row>
    <row r="18" spans="1:41" x14ac:dyDescent="0.3">
      <c r="A18">
        <v>3</v>
      </c>
      <c r="B18" s="19" t="s">
        <v>53</v>
      </c>
      <c r="C18" s="36" t="s">
        <v>54</v>
      </c>
      <c r="D18" s="19"/>
      <c r="E18" s="19">
        <f>GANTT!$F$18</f>
        <v>12</v>
      </c>
      <c r="F18" s="21">
        <f>SUMPRODUCT(I5:$AO$5, $I$18:$AO$18)</f>
        <v>12</v>
      </c>
      <c r="G18" s="21">
        <f>SUMPRODUCT(I6:$AO$6, $I$18:$AO$18)</f>
        <v>0</v>
      </c>
      <c r="H18" s="22">
        <f>AO18</f>
        <v>0</v>
      </c>
      <c r="I18" s="21">
        <f>SUM(W:F!I18)</f>
        <v>0</v>
      </c>
      <c r="J18" s="21">
        <f>SUM(W:F!J18)</f>
        <v>0</v>
      </c>
      <c r="K18" s="23"/>
      <c r="L18" s="21">
        <f>SUM(W:F!L18)</f>
        <v>0</v>
      </c>
      <c r="M18" s="21">
        <f>SUM(W:F!M18)</f>
        <v>0</v>
      </c>
      <c r="N18" s="23">
        <f>K18</f>
        <v>0</v>
      </c>
      <c r="O18" s="21">
        <f>SUM(W:F!O18)</f>
        <v>4</v>
      </c>
      <c r="P18" s="21">
        <f>SUM(W:F!P18)</f>
        <v>0</v>
      </c>
      <c r="Q18" s="23">
        <f t="shared" ref="Q18:Q21" si="137">N18</f>
        <v>0</v>
      </c>
      <c r="R18" s="21">
        <f>SUM(W:F!R18)</f>
        <v>4</v>
      </c>
      <c r="S18" s="21">
        <f>SUM(W:F!S18)</f>
        <v>0</v>
      </c>
      <c r="T18" s="23">
        <f t="shared" ref="T18:T21" si="138">Q18</f>
        <v>0</v>
      </c>
      <c r="U18" s="21">
        <f>SUM(W:F!U18)</f>
        <v>4</v>
      </c>
      <c r="V18" s="21">
        <f>SUM(W:F!V18)</f>
        <v>0</v>
      </c>
      <c r="W18" s="23">
        <f t="shared" ref="W18:W21" si="139">T18</f>
        <v>0</v>
      </c>
      <c r="X18" s="21">
        <f>SUM(W:F!X18)</f>
        <v>0</v>
      </c>
      <c r="Y18" s="21">
        <f>SUM(W:F!Y18)</f>
        <v>0</v>
      </c>
      <c r="Z18" s="23">
        <f t="shared" ref="Z18:Z21" si="140">W18</f>
        <v>0</v>
      </c>
      <c r="AA18" s="21">
        <f>SUM(W:F!AA18)</f>
        <v>0</v>
      </c>
      <c r="AB18" s="21">
        <f>SUM(W:F!AB18)</f>
        <v>0</v>
      </c>
      <c r="AC18" s="23">
        <f t="shared" ref="AC18:AC21" si="141">Z18</f>
        <v>0</v>
      </c>
      <c r="AD18" s="21">
        <f>SUM(W:F!AD18)</f>
        <v>0</v>
      </c>
      <c r="AE18" s="21">
        <f>SUM(W:F!AE18)</f>
        <v>0</v>
      </c>
      <c r="AF18" s="23">
        <f t="shared" ref="AF18:AF21" si="142">AC18</f>
        <v>0</v>
      </c>
      <c r="AG18" s="21">
        <f>SUM(W:F!AG18)</f>
        <v>0</v>
      </c>
      <c r="AH18" s="21">
        <f>SUM(W:F!AH18)</f>
        <v>0</v>
      </c>
      <c r="AI18" s="23">
        <f t="shared" ref="AI18:AI21" si="143">AF18</f>
        <v>0</v>
      </c>
      <c r="AJ18" s="21">
        <f>SUM(W:F!AJ18)</f>
        <v>0</v>
      </c>
      <c r="AK18" s="21">
        <f>SUM(W:F!AK18)</f>
        <v>0</v>
      </c>
      <c r="AL18" s="23">
        <f t="shared" ref="AL18:AL21" si="144">AI18</f>
        <v>0</v>
      </c>
      <c r="AM18" s="21">
        <f>SUM(W:F!AM18)</f>
        <v>0</v>
      </c>
      <c r="AN18" s="21">
        <f>SUM(W:F!AN18)</f>
        <v>0</v>
      </c>
      <c r="AO18" s="23">
        <f t="shared" ref="AO18:AO21" si="145">AL18</f>
        <v>0</v>
      </c>
    </row>
    <row r="19" spans="1:41" x14ac:dyDescent="0.3">
      <c r="A19">
        <v>3</v>
      </c>
      <c r="B19" s="19" t="s">
        <v>55</v>
      </c>
      <c r="C19" s="36" t="s">
        <v>56</v>
      </c>
      <c r="D19" s="19"/>
      <c r="E19" s="19">
        <f>GANTT!$F$19</f>
        <v>6</v>
      </c>
      <c r="F19" s="21">
        <f>SUMPRODUCT(I5:$AO$5, $I$19:$AO$19)</f>
        <v>6</v>
      </c>
      <c r="G19" s="21">
        <f>SUMPRODUCT(I6:$AO$6, $I$19:$AO$19)</f>
        <v>0</v>
      </c>
      <c r="H19" s="22">
        <f>AO19</f>
        <v>0</v>
      </c>
      <c r="I19" s="21">
        <f>SUM(W:F!I19)</f>
        <v>0</v>
      </c>
      <c r="J19" s="21">
        <f>SUM(W:F!J19)</f>
        <v>0</v>
      </c>
      <c r="K19" s="23"/>
      <c r="L19" s="21">
        <f>SUM(W:F!L19)</f>
        <v>0</v>
      </c>
      <c r="M19" s="21">
        <f>SUM(W:F!M19)</f>
        <v>0</v>
      </c>
      <c r="N19" s="23">
        <f>K19</f>
        <v>0</v>
      </c>
      <c r="O19" s="21">
        <f>SUM(W:F!O19)</f>
        <v>0</v>
      </c>
      <c r="P19" s="21">
        <f>SUM(W:F!P19)</f>
        <v>0</v>
      </c>
      <c r="Q19" s="23">
        <f t="shared" si="137"/>
        <v>0</v>
      </c>
      <c r="R19" s="21">
        <f>SUM(W:F!R19)</f>
        <v>3</v>
      </c>
      <c r="S19" s="21">
        <f>SUM(W:F!S19)</f>
        <v>0</v>
      </c>
      <c r="T19" s="23">
        <f t="shared" si="138"/>
        <v>0</v>
      </c>
      <c r="U19" s="21">
        <f>SUM(W:F!U19)</f>
        <v>3</v>
      </c>
      <c r="V19" s="21">
        <f>SUM(W:F!V19)</f>
        <v>0</v>
      </c>
      <c r="W19" s="23">
        <f t="shared" si="139"/>
        <v>0</v>
      </c>
      <c r="X19" s="21">
        <f>SUM(W:F!X19)</f>
        <v>0</v>
      </c>
      <c r="Y19" s="21">
        <f>SUM(W:F!Y19)</f>
        <v>0</v>
      </c>
      <c r="Z19" s="23">
        <f t="shared" si="140"/>
        <v>0</v>
      </c>
      <c r="AA19" s="21">
        <f>SUM(W:F!AA19)</f>
        <v>0</v>
      </c>
      <c r="AB19" s="21">
        <f>SUM(W:F!AB19)</f>
        <v>0</v>
      </c>
      <c r="AC19" s="23">
        <f t="shared" si="141"/>
        <v>0</v>
      </c>
      <c r="AD19" s="21">
        <f>SUM(W:F!AD19)</f>
        <v>0</v>
      </c>
      <c r="AE19" s="21">
        <f>SUM(W:F!AE19)</f>
        <v>0</v>
      </c>
      <c r="AF19" s="23">
        <f t="shared" si="142"/>
        <v>0</v>
      </c>
      <c r="AG19" s="21">
        <f>SUM(W:F!AG19)</f>
        <v>0</v>
      </c>
      <c r="AH19" s="21">
        <f>SUM(W:F!AH19)</f>
        <v>0</v>
      </c>
      <c r="AI19" s="23">
        <f t="shared" si="143"/>
        <v>0</v>
      </c>
      <c r="AJ19" s="21">
        <f>SUM(W:F!AJ19)</f>
        <v>0</v>
      </c>
      <c r="AK19" s="21">
        <f>SUM(W:F!AK19)</f>
        <v>0</v>
      </c>
      <c r="AL19" s="23">
        <f t="shared" si="144"/>
        <v>0</v>
      </c>
      <c r="AM19" s="21">
        <f>SUM(W:F!AM19)</f>
        <v>0</v>
      </c>
      <c r="AN19" s="21">
        <f>SUM(W:F!AN19)</f>
        <v>0</v>
      </c>
      <c r="AO19" s="23">
        <f t="shared" si="145"/>
        <v>0</v>
      </c>
    </row>
    <row r="20" spans="1:41" x14ac:dyDescent="0.3">
      <c r="A20">
        <v>3</v>
      </c>
      <c r="B20" s="19" t="s">
        <v>57</v>
      </c>
      <c r="C20" s="36" t="s">
        <v>58</v>
      </c>
      <c r="D20" s="19"/>
      <c r="E20" s="19">
        <f>GANTT!$F$20</f>
        <v>24</v>
      </c>
      <c r="F20" s="21">
        <f>SUMPRODUCT(I5:$AO$5, $I$20:$AO$20)</f>
        <v>24</v>
      </c>
      <c r="G20" s="21">
        <f>SUMPRODUCT(I6:$AO$6, $I$20:$AO$20)</f>
        <v>0</v>
      </c>
      <c r="H20" s="22">
        <f>AO20</f>
        <v>0</v>
      </c>
      <c r="I20" s="21">
        <f>SUM(W:F!I20)</f>
        <v>0</v>
      </c>
      <c r="J20" s="21">
        <f>SUM(W:F!J20)</f>
        <v>0</v>
      </c>
      <c r="K20" s="23"/>
      <c r="L20" s="21">
        <f>SUM(W:F!L20)</f>
        <v>0</v>
      </c>
      <c r="M20" s="21">
        <f>SUM(W:F!M20)</f>
        <v>0</v>
      </c>
      <c r="N20" s="23">
        <f>K20</f>
        <v>0</v>
      </c>
      <c r="O20" s="21">
        <f>SUM(W:F!O20)</f>
        <v>6</v>
      </c>
      <c r="P20" s="21">
        <f>SUM(W:F!P20)</f>
        <v>0</v>
      </c>
      <c r="Q20" s="23">
        <f t="shared" si="137"/>
        <v>0</v>
      </c>
      <c r="R20" s="21">
        <f>SUM(W:F!R20)</f>
        <v>6</v>
      </c>
      <c r="S20" s="21">
        <f>SUM(W:F!S20)</f>
        <v>0</v>
      </c>
      <c r="T20" s="23">
        <f t="shared" si="138"/>
        <v>0</v>
      </c>
      <c r="U20" s="21">
        <f>SUM(W:F!U20)</f>
        <v>6</v>
      </c>
      <c r="V20" s="21">
        <f>SUM(W:F!V20)</f>
        <v>0</v>
      </c>
      <c r="W20" s="23">
        <f t="shared" si="139"/>
        <v>0</v>
      </c>
      <c r="X20" s="21">
        <f>SUM(W:F!X20)</f>
        <v>6</v>
      </c>
      <c r="Y20" s="21">
        <f>SUM(W:F!Y20)</f>
        <v>0</v>
      </c>
      <c r="Z20" s="23">
        <f t="shared" si="140"/>
        <v>0</v>
      </c>
      <c r="AA20" s="21">
        <f>SUM(W:F!AA20)</f>
        <v>0</v>
      </c>
      <c r="AB20" s="21">
        <f>SUM(W:F!AB20)</f>
        <v>0</v>
      </c>
      <c r="AC20" s="23">
        <f t="shared" si="141"/>
        <v>0</v>
      </c>
      <c r="AD20" s="21">
        <f>SUM(W:F!AD20)</f>
        <v>0</v>
      </c>
      <c r="AE20" s="21">
        <f>SUM(W:F!AE20)</f>
        <v>0</v>
      </c>
      <c r="AF20" s="23">
        <f t="shared" si="142"/>
        <v>0</v>
      </c>
      <c r="AG20" s="21">
        <f>SUM(W:F!AG20)</f>
        <v>0</v>
      </c>
      <c r="AH20" s="21">
        <f>SUM(W:F!AH20)</f>
        <v>0</v>
      </c>
      <c r="AI20" s="23">
        <f t="shared" si="143"/>
        <v>0</v>
      </c>
      <c r="AJ20" s="21">
        <f>SUM(W:F!AJ20)</f>
        <v>0</v>
      </c>
      <c r="AK20" s="21">
        <f>SUM(W:F!AK20)</f>
        <v>0</v>
      </c>
      <c r="AL20" s="23">
        <f t="shared" si="144"/>
        <v>0</v>
      </c>
      <c r="AM20" s="21">
        <f>SUM(W:F!AM20)</f>
        <v>0</v>
      </c>
      <c r="AN20" s="21">
        <f>SUM(W:F!AN20)</f>
        <v>0</v>
      </c>
      <c r="AO20" s="23">
        <f t="shared" si="145"/>
        <v>0</v>
      </c>
    </row>
    <row r="21" spans="1:41" x14ac:dyDescent="0.3">
      <c r="A21">
        <v>3</v>
      </c>
      <c r="B21" s="19" t="s">
        <v>59</v>
      </c>
      <c r="C21" s="36" t="s">
        <v>60</v>
      </c>
      <c r="D21" s="19"/>
      <c r="E21" s="19">
        <f>GANTT!$F$21</f>
        <v>0</v>
      </c>
      <c r="F21" s="21">
        <f>SUMPRODUCT(I5:$AO$5, $I$21:$AO$21)</f>
        <v>0</v>
      </c>
      <c r="G21" s="21">
        <f>SUMPRODUCT(I6:$AO$6, $I$21:$AO$21)</f>
        <v>0</v>
      </c>
      <c r="H21" s="22">
        <f>AO21</f>
        <v>0</v>
      </c>
      <c r="I21" s="21">
        <f>SUM(W:F!I21)</f>
        <v>0</v>
      </c>
      <c r="J21" s="21">
        <f>SUM(W:F!J21)</f>
        <v>0</v>
      </c>
      <c r="K21" s="23"/>
      <c r="L21" s="21">
        <f>SUM(W:F!L21)</f>
        <v>0</v>
      </c>
      <c r="M21" s="21">
        <f>SUM(W:F!M21)</f>
        <v>0</v>
      </c>
      <c r="N21" s="23">
        <f>K21</f>
        <v>0</v>
      </c>
      <c r="O21" s="21">
        <f>SUM(W:F!O21)</f>
        <v>0</v>
      </c>
      <c r="P21" s="21">
        <f>SUM(W:F!P21)</f>
        <v>0</v>
      </c>
      <c r="Q21" s="23">
        <f t="shared" si="137"/>
        <v>0</v>
      </c>
      <c r="R21" s="21">
        <f>SUM(W:F!R21)</f>
        <v>0</v>
      </c>
      <c r="S21" s="21">
        <f>SUM(W:F!S21)</f>
        <v>0</v>
      </c>
      <c r="T21" s="23">
        <f t="shared" si="138"/>
        <v>0</v>
      </c>
      <c r="U21" s="21">
        <f>SUM(W:F!U21)</f>
        <v>0</v>
      </c>
      <c r="V21" s="21">
        <f>SUM(W:F!V21)</f>
        <v>0</v>
      </c>
      <c r="W21" s="23">
        <f t="shared" si="139"/>
        <v>0</v>
      </c>
      <c r="X21" s="21">
        <f>SUM(W:F!X21)</f>
        <v>0</v>
      </c>
      <c r="Y21" s="21">
        <f>SUM(W:F!Y21)</f>
        <v>0</v>
      </c>
      <c r="Z21" s="23">
        <f t="shared" si="140"/>
        <v>0</v>
      </c>
      <c r="AA21" s="21">
        <f>SUM(W:F!AA21)</f>
        <v>0</v>
      </c>
      <c r="AB21" s="21">
        <f>SUM(W:F!AB21)</f>
        <v>0</v>
      </c>
      <c r="AC21" s="23">
        <f t="shared" si="141"/>
        <v>0</v>
      </c>
      <c r="AD21" s="21">
        <f>SUM(W:F!AD21)</f>
        <v>0</v>
      </c>
      <c r="AE21" s="21">
        <f>SUM(W:F!AE21)</f>
        <v>0</v>
      </c>
      <c r="AF21" s="23">
        <f t="shared" si="142"/>
        <v>0</v>
      </c>
      <c r="AG21" s="21">
        <f>SUM(W:F!AG21)</f>
        <v>0</v>
      </c>
      <c r="AH21" s="21">
        <f>SUM(W:F!AH21)</f>
        <v>0</v>
      </c>
      <c r="AI21" s="23">
        <f t="shared" si="143"/>
        <v>0</v>
      </c>
      <c r="AJ21" s="21">
        <f>SUM(W:F!AJ21)</f>
        <v>0</v>
      </c>
      <c r="AK21" s="21">
        <f>SUM(W:F!AK21)</f>
        <v>0</v>
      </c>
      <c r="AL21" s="23">
        <f t="shared" si="144"/>
        <v>0</v>
      </c>
      <c r="AM21" s="21">
        <f>SUM(W:F!AM21)</f>
        <v>0</v>
      </c>
      <c r="AN21" s="21">
        <f>SUM(W:F!AN21)</f>
        <v>0</v>
      </c>
      <c r="AO21" s="23">
        <f t="shared" si="145"/>
        <v>0</v>
      </c>
    </row>
    <row r="22" spans="1:41" x14ac:dyDescent="0.3">
      <c r="E22">
        <f>GANTT!$F$22</f>
        <v>0</v>
      </c>
    </row>
  </sheetData>
  <mergeCells count="23">
    <mergeCell ref="AG2:AI2"/>
    <mergeCell ref="F2:H2"/>
    <mergeCell ref="I2:K2"/>
    <mergeCell ref="L2:N2"/>
    <mergeCell ref="I3:K3"/>
    <mergeCell ref="L3:N3"/>
    <mergeCell ref="O2:Q2"/>
    <mergeCell ref="AM3:AO3"/>
    <mergeCell ref="AJ2:AL2"/>
    <mergeCell ref="AM2:AO2"/>
    <mergeCell ref="O3:Q3"/>
    <mergeCell ref="R3:T3"/>
    <mergeCell ref="U3:W3"/>
    <mergeCell ref="X3:Z3"/>
    <mergeCell ref="AA3:AC3"/>
    <mergeCell ref="AD3:AF3"/>
    <mergeCell ref="AG3:AI3"/>
    <mergeCell ref="AJ3:AL3"/>
    <mergeCell ref="R2:T2"/>
    <mergeCell ref="U2:W2"/>
    <mergeCell ref="X2:Z2"/>
    <mergeCell ref="AA2:AC2"/>
    <mergeCell ref="AD2:AF2"/>
  </mergeCells>
  <conditionalFormatting sqref="I2:N3">
    <cfRule type="expression" dxfId="125" priority="19">
      <formula>AND(YEAR(TODAY()) = YEAR(I$3-1),WEEKNUM(TODAY()) = WEEKNUM(I$3-1))</formula>
    </cfRule>
  </conditionalFormatting>
  <conditionalFormatting sqref="B10:C16 B18:C21">
    <cfRule type="expression" dxfId="124" priority="18">
      <formula>$E10=0</formula>
    </cfRule>
  </conditionalFormatting>
  <conditionalFormatting sqref="F10:H16 F18:H21">
    <cfRule type="expression" dxfId="123" priority="17">
      <formula>F10 = 0</formula>
    </cfRule>
  </conditionalFormatting>
  <conditionalFormatting sqref="K10:K16 N10:N16 N18:N21 K18:K21">
    <cfRule type="expression" dxfId="122" priority="13">
      <formula>(K10=H10)</formula>
    </cfRule>
  </conditionalFormatting>
  <conditionalFormatting sqref="I10:N16 I18:N21">
    <cfRule type="expression" dxfId="121" priority="14">
      <formula>AND(INDEX($I10:K10,FLOOR((COLUMN(I6)-COLUMN($I6)) / 3,1)*3+1) &gt; 0,$A11 &gt; $A10)</formula>
    </cfRule>
    <cfRule type="expression" dxfId="120" priority="15">
      <formula>INDEX($I10:K10,FLOOR((COLUMN(I6)-COLUMN($I6)) / 3,1)*3+1) &gt; 0</formula>
    </cfRule>
    <cfRule type="expression" dxfId="119" priority="16">
      <formula>I10 = 0</formula>
    </cfRule>
  </conditionalFormatting>
  <conditionalFormatting sqref="B17:C17 B9:C9">
    <cfRule type="expression" dxfId="118" priority="12">
      <formula>$E9=0</formula>
    </cfRule>
  </conditionalFormatting>
  <conditionalFormatting sqref="F17:H17 F9:H9">
    <cfRule type="expression" dxfId="117" priority="11">
      <formula>F9 = 0</formula>
    </cfRule>
  </conditionalFormatting>
  <conditionalFormatting sqref="K17 N17 K9 N9">
    <cfRule type="expression" dxfId="116" priority="7">
      <formula>(K9=H9)</formula>
    </cfRule>
  </conditionalFormatting>
  <conditionalFormatting sqref="I17:AO17 I9:AO9">
    <cfRule type="expression" dxfId="115" priority="8">
      <formula>AND(INDEX($I9:K9,FLOOR((COLUMN(I5)-COLUMN($I5)) / 3,1)*3+1) &gt; 0,$A10 &gt; $A9)</formula>
    </cfRule>
    <cfRule type="expression" dxfId="114" priority="9">
      <formula>INDEX($I9:K9,FLOOR((COLUMN(I5)-COLUMN($I5)) / 3,1)*3+1) &gt; 0</formula>
    </cfRule>
    <cfRule type="expression" dxfId="113" priority="10">
      <formula>I9 = 0</formula>
    </cfRule>
  </conditionalFormatting>
  <conditionalFormatting sqref="O2:AO3">
    <cfRule type="expression" dxfId="112" priority="6">
      <formula>AND(YEAR(TODAY()) = YEAR(O$3-1),WEEKNUM(TODAY()) = WEEKNUM(O$3-1))</formula>
    </cfRule>
  </conditionalFormatting>
  <conditionalFormatting sqref="Q10:Q16 T10:T16 W10:W16 Z10:Z16 AC10:AC16 AF10:AF16 AI10:AI16 AL10:AL16 AO10:AO16 Q18:Q21 T18:T21 W18:W21 Z18:Z21 AC18:AC21 AF18:AF21 AI18:AI21 AL18:AL21 AO18:AO21">
    <cfRule type="expression" dxfId="111" priority="2">
      <formula>(Q10=N10)</formula>
    </cfRule>
  </conditionalFormatting>
  <conditionalFormatting sqref="O10:AO16 O18:AO21">
    <cfRule type="expression" dxfId="110" priority="3">
      <formula>AND(INDEX($I10:Q10,FLOOR((COLUMN(O6)-COLUMN($I6)) / 3,1)*3+1) &gt; 0,$A11 &gt; $A10)</formula>
    </cfRule>
    <cfRule type="expression" dxfId="109" priority="4">
      <formula>INDEX($I10:Q10,FLOOR((COLUMN(O6)-COLUMN($I6)) / 3,1)*3+1) &gt; 0</formula>
    </cfRule>
    <cfRule type="expression" dxfId="108" priority="5">
      <formula>O10 = 0</formula>
    </cfRule>
  </conditionalFormatting>
  <conditionalFormatting sqref="Q17 T17 W17 Z17 AC17 AF17 AI17 AL17 AO17 Q9 T9 W9 Z9 AC9 AF9 AI9 AL9 AO9">
    <cfRule type="expression" dxfId="107" priority="1">
      <formula>(Q9=N9)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AC394-0342-4F51-A777-CD1161472E0A}">
  <dimension ref="A1:AR22"/>
  <sheetViews>
    <sheetView topLeftCell="B1" workbookViewId="0">
      <selection activeCell="F9" sqref="F9:F22"/>
    </sheetView>
  </sheetViews>
  <sheetFormatPr defaultColWidth="11.5546875" defaultRowHeight="14.4" x14ac:dyDescent="0.3"/>
  <cols>
    <col min="1" max="1" width="2" hidden="1" customWidth="1"/>
    <col min="2" max="2" width="5.109375" bestFit="1" customWidth="1"/>
    <col min="3" max="3" width="34.6640625" bestFit="1" customWidth="1"/>
    <col min="5" max="5" width="5.6640625" hidden="1" customWidth="1"/>
    <col min="7" max="41" width="0" hidden="1" customWidth="1"/>
  </cols>
  <sheetData>
    <row r="1" spans="1:44" x14ac:dyDescent="0.3">
      <c r="B1" s="32"/>
    </row>
    <row r="2" spans="1:44" ht="27" x14ac:dyDescent="0.3">
      <c r="B2" s="1" t="s">
        <v>1</v>
      </c>
      <c r="C2" s="2" t="s">
        <v>2</v>
      </c>
      <c r="D2" s="2" t="s">
        <v>3</v>
      </c>
      <c r="E2" s="2"/>
      <c r="F2" s="68" t="s">
        <v>4</v>
      </c>
      <c r="G2" s="68"/>
      <c r="H2" s="69"/>
      <c r="I2" s="67" t="str">
        <f>"Woche " &amp; (COLUMN(I2) - COLUMN($I2)) / 3 + 1</f>
        <v>Woche 1</v>
      </c>
      <c r="J2" s="67"/>
      <c r="K2" s="67"/>
      <c r="L2" s="67" t="str">
        <f t="shared" ref="L2" si="0">"Woche " &amp; (COLUMN(L2) - COLUMN($I2)) / 3 + 1</f>
        <v>Woche 2</v>
      </c>
      <c r="M2" s="67"/>
      <c r="N2" s="67"/>
      <c r="O2" s="67" t="str">
        <f t="shared" ref="O2:AM2" si="1">"Woche " &amp; (COLUMN(O2) - COLUMN($I2)) / 3 + 1</f>
        <v>Woche 3</v>
      </c>
      <c r="P2" s="67"/>
      <c r="Q2" s="67"/>
      <c r="R2" s="67" t="str">
        <f t="shared" si="1"/>
        <v>Woche 4</v>
      </c>
      <c r="S2" s="67"/>
      <c r="T2" s="67"/>
      <c r="U2" s="67" t="str">
        <f t="shared" si="1"/>
        <v>Woche 5</v>
      </c>
      <c r="V2" s="67"/>
      <c r="W2" s="67"/>
      <c r="X2" s="67" t="str">
        <f t="shared" si="1"/>
        <v>Woche 6</v>
      </c>
      <c r="Y2" s="67"/>
      <c r="Z2" s="67"/>
      <c r="AA2" s="67" t="str">
        <f t="shared" si="1"/>
        <v>Woche 7</v>
      </c>
      <c r="AB2" s="67"/>
      <c r="AC2" s="67"/>
      <c r="AD2" s="67" t="str">
        <f t="shared" si="1"/>
        <v>Woche 8</v>
      </c>
      <c r="AE2" s="67"/>
      <c r="AF2" s="67"/>
      <c r="AG2" s="67" t="str">
        <f t="shared" si="1"/>
        <v>Woche 9</v>
      </c>
      <c r="AH2" s="67"/>
      <c r="AI2" s="67"/>
      <c r="AJ2" s="67" t="str">
        <f t="shared" si="1"/>
        <v>Woche 10</v>
      </c>
      <c r="AK2" s="67"/>
      <c r="AL2" s="67"/>
      <c r="AM2" s="67" t="str">
        <f t="shared" si="1"/>
        <v>Woche 11</v>
      </c>
      <c r="AN2" s="67"/>
      <c r="AO2" s="67"/>
    </row>
    <row r="3" spans="1:44" x14ac:dyDescent="0.3">
      <c r="B3" s="1"/>
      <c r="C3" s="2"/>
      <c r="D3" s="2"/>
      <c r="E3" s="2"/>
      <c r="F3" s="3"/>
      <c r="G3" s="3"/>
      <c r="H3" s="4"/>
      <c r="I3" s="66">
        <v>45572</v>
      </c>
      <c r="J3" s="66"/>
      <c r="K3" s="66"/>
      <c r="L3" s="66">
        <f>I3+7</f>
        <v>45579</v>
      </c>
      <c r="M3" s="66"/>
      <c r="N3" s="66"/>
      <c r="O3" s="66">
        <f t="shared" ref="O3" si="2">L3+7</f>
        <v>45586</v>
      </c>
      <c r="P3" s="66"/>
      <c r="Q3" s="66"/>
      <c r="R3" s="66">
        <f t="shared" ref="R3" si="3">O3+7</f>
        <v>45593</v>
      </c>
      <c r="S3" s="66"/>
      <c r="T3" s="66"/>
      <c r="U3" s="66">
        <f t="shared" ref="U3" si="4">R3+7</f>
        <v>45600</v>
      </c>
      <c r="V3" s="66"/>
      <c r="W3" s="66"/>
      <c r="X3" s="66">
        <f t="shared" ref="X3" si="5">U3+7</f>
        <v>45607</v>
      </c>
      <c r="Y3" s="66"/>
      <c r="Z3" s="66"/>
      <c r="AA3" s="66">
        <f t="shared" ref="AA3" si="6">X3+7</f>
        <v>45614</v>
      </c>
      <c r="AB3" s="66"/>
      <c r="AC3" s="66"/>
      <c r="AD3" s="66">
        <f t="shared" ref="AD3" si="7">AA3+7</f>
        <v>45621</v>
      </c>
      <c r="AE3" s="66"/>
      <c r="AF3" s="66"/>
      <c r="AG3" s="66">
        <f t="shared" ref="AG3" si="8">AD3+7</f>
        <v>45628</v>
      </c>
      <c r="AH3" s="66"/>
      <c r="AI3" s="66"/>
      <c r="AJ3" s="66">
        <f t="shared" ref="AJ3" si="9">AG3+7</f>
        <v>45635</v>
      </c>
      <c r="AK3" s="66"/>
      <c r="AL3" s="66"/>
      <c r="AM3" s="66">
        <f t="shared" ref="AM3" si="10">AJ3+7</f>
        <v>45642</v>
      </c>
      <c r="AN3" s="66"/>
      <c r="AO3" s="66"/>
      <c r="AP3" s="43">
        <f t="shared" ref="AP3" si="11">AM3+7</f>
        <v>45649</v>
      </c>
      <c r="AQ3" s="43"/>
      <c r="AR3" s="43"/>
    </row>
    <row r="4" spans="1:44" x14ac:dyDescent="0.3">
      <c r="B4" s="1"/>
      <c r="C4" s="2"/>
      <c r="D4" s="2"/>
      <c r="E4" s="2"/>
      <c r="F4" s="5" t="s">
        <v>5</v>
      </c>
      <c r="G4" s="5" t="s">
        <v>6</v>
      </c>
      <c r="H4" s="6" t="s">
        <v>7</v>
      </c>
      <c r="I4" s="5" t="s">
        <v>5</v>
      </c>
      <c r="J4" s="5" t="s">
        <v>8</v>
      </c>
      <c r="K4" s="5" t="s">
        <v>7</v>
      </c>
      <c r="L4" s="5" t="s">
        <v>5</v>
      </c>
      <c r="M4" s="5" t="s">
        <v>8</v>
      </c>
      <c r="N4" s="5" t="s">
        <v>7</v>
      </c>
      <c r="O4" s="5" t="s">
        <v>5</v>
      </c>
      <c r="P4" s="5" t="s">
        <v>8</v>
      </c>
      <c r="Q4" s="5" t="s">
        <v>7</v>
      </c>
      <c r="R4" s="5" t="s">
        <v>5</v>
      </c>
      <c r="S4" s="5" t="s">
        <v>8</v>
      </c>
      <c r="T4" s="5" t="s">
        <v>7</v>
      </c>
      <c r="U4" s="5" t="s">
        <v>5</v>
      </c>
      <c r="V4" s="5" t="s">
        <v>8</v>
      </c>
      <c r="W4" s="5" t="s">
        <v>7</v>
      </c>
      <c r="X4" s="5" t="s">
        <v>5</v>
      </c>
      <c r="Y4" s="5" t="s">
        <v>8</v>
      </c>
      <c r="Z4" s="5" t="s">
        <v>7</v>
      </c>
      <c r="AA4" s="5" t="s">
        <v>5</v>
      </c>
      <c r="AB4" s="5" t="s">
        <v>8</v>
      </c>
      <c r="AC4" s="5" t="s">
        <v>7</v>
      </c>
      <c r="AD4" s="5" t="s">
        <v>5</v>
      </c>
      <c r="AE4" s="5" t="s">
        <v>8</v>
      </c>
      <c r="AF4" s="5" t="s">
        <v>7</v>
      </c>
      <c r="AG4" s="5" t="s">
        <v>5</v>
      </c>
      <c r="AH4" s="5" t="s">
        <v>8</v>
      </c>
      <c r="AI4" s="5" t="s">
        <v>7</v>
      </c>
      <c r="AJ4" s="5" t="s">
        <v>5</v>
      </c>
      <c r="AK4" s="5" t="s">
        <v>8</v>
      </c>
      <c r="AL4" s="5" t="s">
        <v>7</v>
      </c>
      <c r="AM4" s="5" t="s">
        <v>5</v>
      </c>
      <c r="AN4" s="5" t="s">
        <v>8</v>
      </c>
      <c r="AO4" s="5" t="s">
        <v>7</v>
      </c>
    </row>
    <row r="5" spans="1:44" hidden="1" x14ac:dyDescent="0.3">
      <c r="B5" s="1"/>
      <c r="C5" s="2"/>
      <c r="D5" s="2"/>
      <c r="E5" s="2"/>
      <c r="F5" t="s">
        <v>9</v>
      </c>
      <c r="H5" s="7"/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1</v>
      </c>
      <c r="P5">
        <v>0</v>
      </c>
      <c r="Q5">
        <v>0</v>
      </c>
      <c r="R5">
        <v>1</v>
      </c>
      <c r="S5">
        <v>0</v>
      </c>
      <c r="T5">
        <v>0</v>
      </c>
      <c r="U5">
        <v>1</v>
      </c>
      <c r="V5">
        <v>0</v>
      </c>
      <c r="W5">
        <v>0</v>
      </c>
      <c r="X5">
        <v>1</v>
      </c>
      <c r="Y5">
        <v>0</v>
      </c>
      <c r="Z5">
        <v>0</v>
      </c>
      <c r="AA5">
        <v>1</v>
      </c>
      <c r="AB5">
        <v>0</v>
      </c>
      <c r="AC5">
        <v>0</v>
      </c>
      <c r="AD5">
        <v>1</v>
      </c>
      <c r="AE5">
        <v>0</v>
      </c>
      <c r="AF5">
        <v>0</v>
      </c>
      <c r="AG5">
        <v>1</v>
      </c>
      <c r="AH5">
        <v>0</v>
      </c>
      <c r="AI5">
        <v>0</v>
      </c>
      <c r="AJ5">
        <v>1</v>
      </c>
      <c r="AK5">
        <v>0</v>
      </c>
      <c r="AL5">
        <v>0</v>
      </c>
      <c r="AM5">
        <v>1</v>
      </c>
      <c r="AN5">
        <v>0</v>
      </c>
      <c r="AO5">
        <v>0</v>
      </c>
    </row>
    <row r="6" spans="1:44" hidden="1" x14ac:dyDescent="0.3">
      <c r="B6" s="32"/>
      <c r="F6" t="s">
        <v>10</v>
      </c>
      <c r="H6" s="7"/>
      <c r="I6">
        <v>0</v>
      </c>
      <c r="J6">
        <v>1</v>
      </c>
      <c r="K6">
        <v>0</v>
      </c>
      <c r="L6">
        <v>0</v>
      </c>
      <c r="M6">
        <v>1</v>
      </c>
      <c r="N6">
        <v>0</v>
      </c>
      <c r="O6">
        <v>0</v>
      </c>
      <c r="P6">
        <v>1</v>
      </c>
      <c r="Q6">
        <v>0</v>
      </c>
      <c r="R6">
        <v>0</v>
      </c>
      <c r="S6">
        <v>1</v>
      </c>
      <c r="T6">
        <v>0</v>
      </c>
      <c r="U6">
        <v>0</v>
      </c>
      <c r="V6">
        <v>1</v>
      </c>
      <c r="W6">
        <v>0</v>
      </c>
      <c r="X6">
        <v>0</v>
      </c>
      <c r="Y6">
        <v>1</v>
      </c>
      <c r="Z6">
        <v>0</v>
      </c>
      <c r="AA6">
        <v>0</v>
      </c>
      <c r="AB6">
        <v>1</v>
      </c>
      <c r="AC6">
        <v>0</v>
      </c>
      <c r="AD6">
        <v>0</v>
      </c>
      <c r="AE6">
        <v>1</v>
      </c>
      <c r="AF6">
        <v>0</v>
      </c>
      <c r="AG6">
        <v>0</v>
      </c>
      <c r="AH6">
        <v>1</v>
      </c>
      <c r="AI6">
        <v>0</v>
      </c>
      <c r="AJ6">
        <v>0</v>
      </c>
      <c r="AK6">
        <v>1</v>
      </c>
      <c r="AL6">
        <v>0</v>
      </c>
      <c r="AM6">
        <v>0</v>
      </c>
      <c r="AN6">
        <v>1</v>
      </c>
      <c r="AO6">
        <v>0</v>
      </c>
    </row>
    <row r="7" spans="1:44" x14ac:dyDescent="0.3">
      <c r="B7" s="32"/>
      <c r="F7" s="8"/>
      <c r="G7" s="8"/>
      <c r="H7" s="7" t="s">
        <v>11</v>
      </c>
      <c r="I7" s="9">
        <f>I8</f>
        <v>45578</v>
      </c>
      <c r="J7" s="9">
        <f>J8</f>
        <v>0</v>
      </c>
      <c r="L7" s="9">
        <f t="shared" ref="L7:M7" si="12">L8+I7</f>
        <v>91163</v>
      </c>
      <c r="M7" s="9">
        <f t="shared" si="12"/>
        <v>0</v>
      </c>
      <c r="O7" s="9">
        <f t="shared" ref="O7:P7" si="13">O8+L7</f>
        <v>136755</v>
      </c>
      <c r="P7" s="9">
        <f t="shared" si="13"/>
        <v>0</v>
      </c>
      <c r="R7" s="9">
        <f t="shared" ref="R7:S7" si="14">R8+O7</f>
        <v>182354</v>
      </c>
      <c r="S7" s="9">
        <f t="shared" si="14"/>
        <v>0</v>
      </c>
      <c r="U7" s="9">
        <f t="shared" ref="U7:V7" si="15">U8+R7</f>
        <v>227960</v>
      </c>
      <c r="V7" s="9">
        <f t="shared" si="15"/>
        <v>0</v>
      </c>
      <c r="X7" s="9">
        <f t="shared" ref="X7:Y7" si="16">X8+U7</f>
        <v>273573</v>
      </c>
      <c r="Y7" s="9">
        <f t="shared" si="16"/>
        <v>0</v>
      </c>
      <c r="AA7" s="9">
        <f t="shared" ref="AA7:AB7" si="17">AA8+X7</f>
        <v>319193</v>
      </c>
      <c r="AB7" s="9">
        <f t="shared" si="17"/>
        <v>0</v>
      </c>
      <c r="AD7" s="9">
        <f t="shared" ref="AD7:AE7" si="18">AD8+AA7</f>
        <v>364820</v>
      </c>
      <c r="AE7" s="9">
        <f t="shared" si="18"/>
        <v>0</v>
      </c>
      <c r="AG7" s="9">
        <f t="shared" ref="AG7:AH7" si="19">AG8+AD7</f>
        <v>410454</v>
      </c>
      <c r="AH7" s="9">
        <f t="shared" si="19"/>
        <v>0</v>
      </c>
      <c r="AJ7" s="9">
        <f t="shared" ref="AJ7:AK7" si="20">AJ8+AG7</f>
        <v>456095</v>
      </c>
      <c r="AK7" s="9">
        <f t="shared" si="20"/>
        <v>0</v>
      </c>
      <c r="AM7" s="9" t="e">
        <f t="shared" ref="AM7:AN7" si="21">AM8+AJ7</f>
        <v>#VALUE!</v>
      </c>
      <c r="AN7" s="9">
        <f t="shared" si="21"/>
        <v>0</v>
      </c>
    </row>
    <row r="8" spans="1:44" x14ac:dyDescent="0.3">
      <c r="A8">
        <v>1</v>
      </c>
      <c r="B8" s="10" t="s">
        <v>37</v>
      </c>
      <c r="C8" s="11" t="s">
        <v>38</v>
      </c>
      <c r="D8" s="11"/>
      <c r="E8" s="11">
        <f>GANTT!$F$8</f>
        <v>122.5</v>
      </c>
      <c r="F8" s="44">
        <f>MAX($I8:$AO8)</f>
        <v>45641</v>
      </c>
      <c r="G8" s="11">
        <f>SUM(G9,G17)</f>
        <v>0</v>
      </c>
      <c r="H8" s="12"/>
      <c r="I8" s="44">
        <f>IF(GANTT!I8 &gt; 0, L$3 - 1,"")</f>
        <v>45578</v>
      </c>
      <c r="J8" s="11">
        <f t="shared" ref="J8" si="22">SUM(J9,J17)</f>
        <v>0</v>
      </c>
      <c r="K8" s="13"/>
      <c r="L8" s="44">
        <f>IF(GANTT!L8 &gt; 0, O$3 - 1,"")</f>
        <v>45585</v>
      </c>
      <c r="M8" s="11">
        <f t="shared" ref="M8" si="23">SUM(M9,M17)</f>
        <v>0</v>
      </c>
      <c r="N8" s="13"/>
      <c r="O8" s="44">
        <f>IF(GANTT!O8 &gt; 0, R$3 - 1,"")</f>
        <v>45592</v>
      </c>
      <c r="P8" s="11">
        <f t="shared" ref="P8" si="24">SUM(P9,P17)</f>
        <v>0</v>
      </c>
      <c r="Q8" s="13"/>
      <c r="R8" s="44">
        <f>IF(GANTT!R8 &gt; 0, U$3 - 1,"")</f>
        <v>45599</v>
      </c>
      <c r="S8" s="11">
        <f t="shared" ref="S8" si="25">SUM(S9,S17)</f>
        <v>0</v>
      </c>
      <c r="T8" s="13"/>
      <c r="U8" s="44">
        <f>IF(GANTT!U8 &gt; 0, X$3 - 1,"")</f>
        <v>45606</v>
      </c>
      <c r="V8" s="11">
        <f t="shared" ref="V8" si="26">SUM(V9,V17)</f>
        <v>0</v>
      </c>
      <c r="W8" s="13"/>
      <c r="X8" s="44">
        <f>IF(GANTT!X8 &gt; 0, AA$3 - 1,"")</f>
        <v>45613</v>
      </c>
      <c r="Y8" s="11">
        <f t="shared" ref="Y8" si="27">SUM(Y9,Y17)</f>
        <v>0</v>
      </c>
      <c r="Z8" s="13"/>
      <c r="AA8" s="44">
        <f>IF(GANTT!AA8 &gt; 0, AD$3 - 1,"")</f>
        <v>45620</v>
      </c>
      <c r="AB8" s="11">
        <f t="shared" ref="AB8" si="28">SUM(AB9,AB17)</f>
        <v>0</v>
      </c>
      <c r="AC8" s="13"/>
      <c r="AD8" s="44">
        <f>IF(GANTT!AD8 &gt; 0, AG$3 - 1,"")</f>
        <v>45627</v>
      </c>
      <c r="AE8" s="11">
        <f t="shared" ref="AE8" si="29">SUM(AE9,AE17)</f>
        <v>0</v>
      </c>
      <c r="AF8" s="13"/>
      <c r="AG8" s="44">
        <f>IF(GANTT!AG8 &gt; 0, AJ$3 - 1,"")</f>
        <v>45634</v>
      </c>
      <c r="AH8" s="11">
        <f t="shared" ref="AH8" si="30">SUM(AH9,AH17)</f>
        <v>0</v>
      </c>
      <c r="AI8" s="13"/>
      <c r="AJ8" s="44">
        <f>IF(GANTT!AJ8 &gt; 0, AM$3 - 1,"")</f>
        <v>45641</v>
      </c>
      <c r="AK8" s="11">
        <f t="shared" ref="AK8" si="31">SUM(AK9,AK17)</f>
        <v>0</v>
      </c>
      <c r="AL8" s="13"/>
      <c r="AM8" s="44" t="str">
        <f>IF(GANTT!AM8 &gt; 0, AP$3 - 1,"")</f>
        <v/>
      </c>
      <c r="AN8" s="11">
        <f t="shared" ref="AN8" si="32">SUM(AN9,AN17)</f>
        <v>0</v>
      </c>
      <c r="AO8" s="13"/>
    </row>
    <row r="9" spans="1:44" x14ac:dyDescent="0.3">
      <c r="A9">
        <v>2</v>
      </c>
      <c r="B9" s="14" t="s">
        <v>13</v>
      </c>
      <c r="C9" s="37" t="s">
        <v>39</v>
      </c>
      <c r="D9" s="14"/>
      <c r="E9" s="40">
        <f>GANTT!$F$9</f>
        <v>80.5</v>
      </c>
      <c r="F9" s="45">
        <f t="shared" ref="F9:F22" si="33">MAX($I9:$AO9)</f>
        <v>45641</v>
      </c>
      <c r="G9" s="16">
        <f>SUM(G10,G11,G12,G13,G14,G15,G16)</f>
        <v>0</v>
      </c>
      <c r="H9" s="17"/>
      <c r="I9" s="45">
        <f>IF(GANTT!I9 &gt; 0, L$3 - 1,"")</f>
        <v>45578</v>
      </c>
      <c r="J9" s="16">
        <f t="shared" ref="J9" si="34">SUM(J10,J11,J12,J13,J14,J15,J16)</f>
        <v>0</v>
      </c>
      <c r="K9" s="18"/>
      <c r="L9" s="45">
        <f>IF(GANTT!L9 &gt; 0, O$3 - 1,"")</f>
        <v>45585</v>
      </c>
      <c r="M9" s="16">
        <f t="shared" ref="M9" si="35">SUM(M10,M11,M12,M13,M14,M15,M16)</f>
        <v>0</v>
      </c>
      <c r="N9" s="18"/>
      <c r="O9" s="45">
        <f>IF(GANTT!O9 &gt; 0, R$3 - 1,"")</f>
        <v>45592</v>
      </c>
      <c r="P9" s="16">
        <f t="shared" ref="P9" si="36">SUM(P10,P11,P12,P13,P14,P15,P16)</f>
        <v>0</v>
      </c>
      <c r="Q9" s="18"/>
      <c r="R9" s="45">
        <f>IF(GANTT!R9 &gt; 0, U$3 - 1,"")</f>
        <v>45599</v>
      </c>
      <c r="S9" s="16">
        <f t="shared" ref="S9" si="37">SUM(S10,S11,S12,S13,S14,S15,S16)</f>
        <v>0</v>
      </c>
      <c r="T9" s="18"/>
      <c r="U9" s="45">
        <f>IF(GANTT!U9 &gt; 0, X$3 - 1,"")</f>
        <v>45606</v>
      </c>
      <c r="V9" s="16">
        <f t="shared" ref="V9" si="38">SUM(V10,V11,V12,V13,V14,V15,V16)</f>
        <v>0</v>
      </c>
      <c r="W9" s="18"/>
      <c r="X9" s="45">
        <f>IF(GANTT!X9 &gt; 0, AA$3 - 1,"")</f>
        <v>45613</v>
      </c>
      <c r="Y9" s="16">
        <f t="shared" ref="Y9" si="39">SUM(Y10,Y11,Y12,Y13,Y14,Y15,Y16)</f>
        <v>0</v>
      </c>
      <c r="Z9" s="18"/>
      <c r="AA9" s="45">
        <f>IF(GANTT!AA9 &gt; 0, AD$3 - 1,"")</f>
        <v>45620</v>
      </c>
      <c r="AB9" s="16">
        <f t="shared" ref="AB9" si="40">SUM(AB10,AB11,AB12,AB13,AB14,AB15,AB16)</f>
        <v>0</v>
      </c>
      <c r="AC9" s="18"/>
      <c r="AD9" s="45">
        <f>IF(GANTT!AD9 &gt; 0, AG$3 - 1,"")</f>
        <v>45627</v>
      </c>
      <c r="AE9" s="16">
        <f t="shared" ref="AE9" si="41">SUM(AE10,AE11,AE12,AE13,AE14,AE15,AE16)</f>
        <v>0</v>
      </c>
      <c r="AF9" s="18"/>
      <c r="AG9" s="45">
        <f>IF(GANTT!AG9 &gt; 0, AJ$3 - 1,"")</f>
        <v>45634</v>
      </c>
      <c r="AH9" s="16">
        <f t="shared" ref="AH9" si="42">SUM(AH10,AH11,AH12,AH13,AH14,AH15,AH16)</f>
        <v>0</v>
      </c>
      <c r="AI9" s="18"/>
      <c r="AJ9" s="45">
        <f>IF(GANTT!AJ9 &gt; 0, AM$3 - 1,"")</f>
        <v>45641</v>
      </c>
      <c r="AK9" s="16">
        <f t="shared" ref="AK9" si="43">SUM(AK10,AK11,AK12,AK13,AK14,AK15,AK16)</f>
        <v>0</v>
      </c>
      <c r="AL9" s="18"/>
      <c r="AM9" s="45" t="str">
        <f>IF(GANTT!AM9 &gt; 0, AP$3 - 1,"")</f>
        <v/>
      </c>
      <c r="AN9" s="16">
        <f t="shared" ref="AN9" si="44">SUM(AN10,AN11,AN12,AN13,AN14,AN15,AN16)</f>
        <v>0</v>
      </c>
      <c r="AO9" s="18"/>
    </row>
    <row r="10" spans="1:44" x14ac:dyDescent="0.3">
      <c r="A10">
        <v>3</v>
      </c>
      <c r="B10" s="19" t="s">
        <v>15</v>
      </c>
      <c r="C10" s="36" t="s">
        <v>40</v>
      </c>
      <c r="D10" s="19"/>
      <c r="E10" s="42">
        <f>GANTT!$F$10</f>
        <v>24</v>
      </c>
      <c r="F10" s="46">
        <f t="shared" si="33"/>
        <v>45585</v>
      </c>
      <c r="G10" s="21">
        <f>SUMPRODUCT(I6:$AO$6, $I$10:$AO$10)</f>
        <v>0</v>
      </c>
      <c r="H10" s="22"/>
      <c r="I10" s="46">
        <f>IF(GANTT!I10 &gt; 0, L$3 - 1,"")</f>
        <v>45578</v>
      </c>
      <c r="J10" s="21"/>
      <c r="K10" s="23"/>
      <c r="L10" s="46">
        <f>IF(GANTT!L10 &gt; 0, O$3 - 1,"")</f>
        <v>45585</v>
      </c>
      <c r="M10" s="21"/>
      <c r="N10" s="23"/>
      <c r="O10" s="46" t="str">
        <f>IF(GANTT!O10 &gt; 0, R$3 - 1,"")</f>
        <v/>
      </c>
      <c r="P10" s="21"/>
      <c r="Q10" s="23"/>
      <c r="R10" s="46" t="str">
        <f>IF(GANTT!R10 &gt; 0, U$3 - 1,"")</f>
        <v/>
      </c>
      <c r="S10" s="21"/>
      <c r="T10" s="23"/>
      <c r="U10" s="46" t="str">
        <f>IF(GANTT!U10 &gt; 0, X$3 - 1,"")</f>
        <v/>
      </c>
      <c r="V10" s="21"/>
      <c r="W10" s="23"/>
      <c r="X10" s="46" t="str">
        <f>IF(GANTT!X10 &gt; 0, AA$3 - 1,"")</f>
        <v/>
      </c>
      <c r="Y10" s="21"/>
      <c r="Z10" s="23"/>
      <c r="AA10" s="46" t="str">
        <f>IF(GANTT!AA10 &gt; 0, AD$3 - 1,"")</f>
        <v/>
      </c>
      <c r="AB10" s="21"/>
      <c r="AC10" s="23"/>
      <c r="AD10" s="46" t="str">
        <f>IF(GANTT!AD10 &gt; 0, AG$3 - 1,"")</f>
        <v/>
      </c>
      <c r="AE10" s="21"/>
      <c r="AF10" s="23"/>
      <c r="AG10" s="46" t="str">
        <f>IF(GANTT!AG10 &gt; 0, AJ$3 - 1,"")</f>
        <v/>
      </c>
      <c r="AH10" s="21"/>
      <c r="AI10" s="23"/>
      <c r="AJ10" s="46" t="str">
        <f>IF(GANTT!AJ10 &gt; 0, AM$3 - 1,"")</f>
        <v/>
      </c>
      <c r="AK10" s="21"/>
      <c r="AL10" s="23"/>
      <c r="AM10" s="46" t="str">
        <f>IF(GANTT!AM10 &gt; 0, AP$3 - 1,"")</f>
        <v/>
      </c>
      <c r="AN10" s="21"/>
      <c r="AO10" s="23"/>
    </row>
    <row r="11" spans="1:44" x14ac:dyDescent="0.3">
      <c r="A11">
        <v>3</v>
      </c>
      <c r="B11" s="19" t="s">
        <v>17</v>
      </c>
      <c r="C11" s="36" t="s">
        <v>41</v>
      </c>
      <c r="D11" s="19"/>
      <c r="E11" s="42">
        <f>GANTT!$F$11</f>
        <v>0</v>
      </c>
      <c r="F11" s="46">
        <f t="shared" si="33"/>
        <v>0</v>
      </c>
      <c r="G11" s="21">
        <f>SUMPRODUCT(I6:$AO$6, $I$11:$AO$11)</f>
        <v>0</v>
      </c>
      <c r="H11" s="22"/>
      <c r="I11" s="46" t="str">
        <f>IF(GANTT!I11 &gt; 0, L$3 - 1,"")</f>
        <v/>
      </c>
      <c r="J11" s="21"/>
      <c r="K11" s="23"/>
      <c r="L11" s="46" t="str">
        <f>IF(GANTT!L11 &gt; 0, O$3 - 1,"")</f>
        <v/>
      </c>
      <c r="M11" s="21"/>
      <c r="N11" s="23"/>
      <c r="O11" s="46" t="str">
        <f>IF(GANTT!O11 &gt; 0, R$3 - 1,"")</f>
        <v/>
      </c>
      <c r="P11" s="21"/>
      <c r="Q11" s="23"/>
      <c r="R11" s="46" t="str">
        <f>IF(GANTT!R11 &gt; 0, U$3 - 1,"")</f>
        <v/>
      </c>
      <c r="S11" s="21"/>
      <c r="T11" s="23"/>
      <c r="U11" s="46" t="str">
        <f>IF(GANTT!U11 &gt; 0, X$3 - 1,"")</f>
        <v/>
      </c>
      <c r="V11" s="21"/>
      <c r="W11" s="23"/>
      <c r="X11" s="46" t="str">
        <f>IF(GANTT!X11 &gt; 0, AA$3 - 1,"")</f>
        <v/>
      </c>
      <c r="Y11" s="21"/>
      <c r="Z11" s="23"/>
      <c r="AA11" s="46" t="str">
        <f>IF(GANTT!AA11 &gt; 0, AD$3 - 1,"")</f>
        <v/>
      </c>
      <c r="AB11" s="21"/>
      <c r="AC11" s="23"/>
      <c r="AD11" s="46" t="str">
        <f>IF(GANTT!AD11 &gt; 0, AG$3 - 1,"")</f>
        <v/>
      </c>
      <c r="AE11" s="21"/>
      <c r="AF11" s="23"/>
      <c r="AG11" s="46" t="str">
        <f>IF(GANTT!AG11 &gt; 0, AJ$3 - 1,"")</f>
        <v/>
      </c>
      <c r="AH11" s="21"/>
      <c r="AI11" s="23"/>
      <c r="AJ11" s="46" t="str">
        <f>IF(GANTT!AJ11 &gt; 0, AM$3 - 1,"")</f>
        <v/>
      </c>
      <c r="AK11" s="21"/>
      <c r="AL11" s="23"/>
      <c r="AM11" s="46" t="str">
        <f>IF(GANTT!AM11 &gt; 0, AP$3 - 1,"")</f>
        <v/>
      </c>
      <c r="AN11" s="21"/>
      <c r="AO11" s="23"/>
    </row>
    <row r="12" spans="1:44" x14ac:dyDescent="0.3">
      <c r="A12">
        <v>3</v>
      </c>
      <c r="B12" s="19" t="s">
        <v>19</v>
      </c>
      <c r="C12" s="36" t="s">
        <v>42</v>
      </c>
      <c r="D12" s="19"/>
      <c r="E12" s="42">
        <f>GANTT!$F$12</f>
        <v>7.5</v>
      </c>
      <c r="F12" s="46">
        <f t="shared" si="33"/>
        <v>45641</v>
      </c>
      <c r="G12" s="21">
        <f>SUMPRODUCT(I6:$AO$6, $I$12:$AO$12)</f>
        <v>0</v>
      </c>
      <c r="H12" s="22"/>
      <c r="I12" s="46">
        <f>IF(GANTT!I12 &gt; 0, L$3 - 1,"")</f>
        <v>45578</v>
      </c>
      <c r="J12" s="21"/>
      <c r="K12" s="23"/>
      <c r="L12" s="46">
        <f>IF(GANTT!L12 &gt; 0, O$3 - 1,"")</f>
        <v>45585</v>
      </c>
      <c r="M12" s="21"/>
      <c r="N12" s="23"/>
      <c r="O12" s="46">
        <f>IF(GANTT!O12 &gt; 0, R$3 - 1,"")</f>
        <v>45592</v>
      </c>
      <c r="P12" s="21"/>
      <c r="Q12" s="23"/>
      <c r="R12" s="46">
        <f>IF(GANTT!R12 &gt; 0, U$3 - 1,"")</f>
        <v>45599</v>
      </c>
      <c r="S12" s="21"/>
      <c r="T12" s="23"/>
      <c r="U12" s="46">
        <f>IF(GANTT!U12 &gt; 0, X$3 - 1,"")</f>
        <v>45606</v>
      </c>
      <c r="V12" s="21"/>
      <c r="W12" s="23"/>
      <c r="X12" s="46">
        <f>IF(GANTT!X12 &gt; 0, AA$3 - 1,"")</f>
        <v>45613</v>
      </c>
      <c r="Y12" s="21"/>
      <c r="Z12" s="23"/>
      <c r="AA12" s="46">
        <f>IF(GANTT!AA12 &gt; 0, AD$3 - 1,"")</f>
        <v>45620</v>
      </c>
      <c r="AB12" s="21"/>
      <c r="AC12" s="23"/>
      <c r="AD12" s="46">
        <f>IF(GANTT!AD12 &gt; 0, AG$3 - 1,"")</f>
        <v>45627</v>
      </c>
      <c r="AE12" s="21"/>
      <c r="AF12" s="23"/>
      <c r="AG12" s="46">
        <f>IF(GANTT!AG12 &gt; 0, AJ$3 - 1,"")</f>
        <v>45634</v>
      </c>
      <c r="AH12" s="21"/>
      <c r="AI12" s="23"/>
      <c r="AJ12" s="46">
        <f>IF(GANTT!AJ12 &gt; 0, AM$3 - 1,"")</f>
        <v>45641</v>
      </c>
      <c r="AK12" s="21"/>
      <c r="AL12" s="23"/>
      <c r="AM12" s="46" t="str">
        <f>IF(GANTT!AM12 &gt; 0, AP$3 - 1,"")</f>
        <v/>
      </c>
      <c r="AN12" s="21"/>
      <c r="AO12" s="23"/>
    </row>
    <row r="13" spans="1:44" x14ac:dyDescent="0.3">
      <c r="A13">
        <v>3</v>
      </c>
      <c r="B13" s="19" t="s">
        <v>43</v>
      </c>
      <c r="C13" s="36" t="s">
        <v>44</v>
      </c>
      <c r="D13" s="19"/>
      <c r="E13" s="42">
        <f>GANTT!$F$13</f>
        <v>15</v>
      </c>
      <c r="F13" s="46">
        <f t="shared" si="33"/>
        <v>45641</v>
      </c>
      <c r="G13" s="21">
        <f>SUMPRODUCT(I6:$AO$6, $I$13:$AO$13)</f>
        <v>0</v>
      </c>
      <c r="H13" s="22"/>
      <c r="I13" s="46">
        <f>IF(GANTT!I13 &gt; 0, L$3 - 1,"")</f>
        <v>45578</v>
      </c>
      <c r="J13" s="21"/>
      <c r="K13" s="23"/>
      <c r="L13" s="46">
        <f>IF(GANTT!L13 &gt; 0, O$3 - 1,"")</f>
        <v>45585</v>
      </c>
      <c r="M13" s="21"/>
      <c r="N13" s="23"/>
      <c r="O13" s="46">
        <f>IF(GANTT!O13 &gt; 0, R$3 - 1,"")</f>
        <v>45592</v>
      </c>
      <c r="P13" s="21"/>
      <c r="Q13" s="23"/>
      <c r="R13" s="46">
        <f>IF(GANTT!R13 &gt; 0, U$3 - 1,"")</f>
        <v>45599</v>
      </c>
      <c r="S13" s="21"/>
      <c r="T13" s="23"/>
      <c r="U13" s="46">
        <f>IF(GANTT!U13 &gt; 0, X$3 - 1,"")</f>
        <v>45606</v>
      </c>
      <c r="V13" s="21"/>
      <c r="W13" s="23"/>
      <c r="X13" s="46">
        <f>IF(GANTT!X13 &gt; 0, AA$3 - 1,"")</f>
        <v>45613</v>
      </c>
      <c r="Y13" s="21"/>
      <c r="Z13" s="23"/>
      <c r="AA13" s="46">
        <f>IF(GANTT!AA13 &gt; 0, AD$3 - 1,"")</f>
        <v>45620</v>
      </c>
      <c r="AB13" s="21"/>
      <c r="AC13" s="23"/>
      <c r="AD13" s="46">
        <f>IF(GANTT!AD13 &gt; 0, AG$3 - 1,"")</f>
        <v>45627</v>
      </c>
      <c r="AE13" s="21"/>
      <c r="AF13" s="23"/>
      <c r="AG13" s="46">
        <f>IF(GANTT!AG13 &gt; 0, AJ$3 - 1,"")</f>
        <v>45634</v>
      </c>
      <c r="AH13" s="21"/>
      <c r="AI13" s="23"/>
      <c r="AJ13" s="46">
        <f>IF(GANTT!AJ13 &gt; 0, AM$3 - 1,"")</f>
        <v>45641</v>
      </c>
      <c r="AK13" s="21"/>
      <c r="AL13" s="23"/>
      <c r="AM13" s="46" t="str">
        <f>IF(GANTT!AM13 &gt; 0, AP$3 - 1,"")</f>
        <v/>
      </c>
      <c r="AN13" s="21"/>
      <c r="AO13" s="23"/>
    </row>
    <row r="14" spans="1:44" x14ac:dyDescent="0.3">
      <c r="A14">
        <v>3</v>
      </c>
      <c r="B14" s="19" t="s">
        <v>45</v>
      </c>
      <c r="C14" s="36" t="s">
        <v>46</v>
      </c>
      <c r="D14" s="19"/>
      <c r="E14" s="42">
        <f>GANTT!$F$14</f>
        <v>10</v>
      </c>
      <c r="F14" s="46">
        <f t="shared" si="33"/>
        <v>45641</v>
      </c>
      <c r="G14" s="21">
        <f>SUMPRODUCT(I6:$AO$6, $I$14:$AO$14)</f>
        <v>0</v>
      </c>
      <c r="H14" s="22"/>
      <c r="I14" s="46">
        <f>IF(GANTT!I14 &gt; 0, L$3 - 1,"")</f>
        <v>45578</v>
      </c>
      <c r="J14" s="21"/>
      <c r="K14" s="23"/>
      <c r="L14" s="46">
        <f>IF(GANTT!L14 &gt; 0, O$3 - 1,"")</f>
        <v>45585</v>
      </c>
      <c r="M14" s="21"/>
      <c r="N14" s="23"/>
      <c r="O14" s="46">
        <f>IF(GANTT!O14 &gt; 0, R$3 - 1,"")</f>
        <v>45592</v>
      </c>
      <c r="P14" s="21"/>
      <c r="Q14" s="23"/>
      <c r="R14" s="46">
        <f>IF(GANTT!R14 &gt; 0, U$3 - 1,"")</f>
        <v>45599</v>
      </c>
      <c r="S14" s="21"/>
      <c r="T14" s="23"/>
      <c r="U14" s="46">
        <f>IF(GANTT!U14 &gt; 0, X$3 - 1,"")</f>
        <v>45606</v>
      </c>
      <c r="V14" s="21"/>
      <c r="W14" s="23"/>
      <c r="X14" s="46">
        <f>IF(GANTT!X14 &gt; 0, AA$3 - 1,"")</f>
        <v>45613</v>
      </c>
      <c r="Y14" s="21"/>
      <c r="Z14" s="23"/>
      <c r="AA14" s="46">
        <f>IF(GANTT!AA14 &gt; 0, AD$3 - 1,"")</f>
        <v>45620</v>
      </c>
      <c r="AB14" s="21"/>
      <c r="AC14" s="23"/>
      <c r="AD14" s="46">
        <f>IF(GANTT!AD14 &gt; 0, AG$3 - 1,"")</f>
        <v>45627</v>
      </c>
      <c r="AE14" s="21"/>
      <c r="AF14" s="23"/>
      <c r="AG14" s="46">
        <f>IF(GANTT!AG14 &gt; 0, AJ$3 - 1,"")</f>
        <v>45634</v>
      </c>
      <c r="AH14" s="21"/>
      <c r="AI14" s="23"/>
      <c r="AJ14" s="46">
        <f>IF(GANTT!AJ14 &gt; 0, AM$3 - 1,"")</f>
        <v>45641</v>
      </c>
      <c r="AK14" s="21"/>
      <c r="AL14" s="23"/>
      <c r="AM14" s="46" t="str">
        <f>IF(GANTT!AM14 &gt; 0, AP$3 - 1,"")</f>
        <v/>
      </c>
      <c r="AN14" s="21"/>
      <c r="AO14" s="23"/>
    </row>
    <row r="15" spans="1:44" x14ac:dyDescent="0.3">
      <c r="A15">
        <v>3</v>
      </c>
      <c r="B15" s="19" t="s">
        <v>47</v>
      </c>
      <c r="C15" s="36" t="s">
        <v>48</v>
      </c>
      <c r="D15" s="19"/>
      <c r="E15" s="42">
        <f>GANTT!$F$15</f>
        <v>24</v>
      </c>
      <c r="F15" s="46">
        <f t="shared" si="33"/>
        <v>45641</v>
      </c>
      <c r="G15" s="21">
        <f>SUMPRODUCT(I6:$AO$6, $I$15:$AO$15)</f>
        <v>0</v>
      </c>
      <c r="H15" s="22"/>
      <c r="I15" s="46" t="str">
        <f>IF(GANTT!I15 &gt; 0, L$3 - 1,"")</f>
        <v/>
      </c>
      <c r="J15" s="21"/>
      <c r="K15" s="23"/>
      <c r="L15" s="46" t="str">
        <f>IF(GANTT!L15 &gt; 0, O$3 - 1,"")</f>
        <v/>
      </c>
      <c r="M15" s="21"/>
      <c r="N15" s="23"/>
      <c r="O15" s="46" t="str">
        <f>IF(GANTT!O15 &gt; 0, R$3 - 1,"")</f>
        <v/>
      </c>
      <c r="P15" s="21"/>
      <c r="Q15" s="23"/>
      <c r="R15" s="46" t="str">
        <f>IF(GANTT!R15 &gt; 0, U$3 - 1,"")</f>
        <v/>
      </c>
      <c r="S15" s="21"/>
      <c r="T15" s="23"/>
      <c r="U15" s="46" t="str">
        <f>IF(GANTT!U15 &gt; 0, X$3 - 1,"")</f>
        <v/>
      </c>
      <c r="V15" s="21"/>
      <c r="W15" s="23"/>
      <c r="X15" s="46" t="str">
        <f>IF(GANTT!X15 &gt; 0, AA$3 - 1,"")</f>
        <v/>
      </c>
      <c r="Y15" s="21"/>
      <c r="Z15" s="23"/>
      <c r="AA15" s="46" t="str">
        <f>IF(GANTT!AA15 &gt; 0, AD$3 - 1,"")</f>
        <v/>
      </c>
      <c r="AB15" s="21"/>
      <c r="AC15" s="23"/>
      <c r="AD15" s="46" t="str">
        <f>IF(GANTT!AD15 &gt; 0, AG$3 - 1,"")</f>
        <v/>
      </c>
      <c r="AE15" s="21"/>
      <c r="AF15" s="23"/>
      <c r="AG15" s="46">
        <f>IF(GANTT!AG15 &gt; 0, AJ$3 - 1,"")</f>
        <v>45634</v>
      </c>
      <c r="AH15" s="21"/>
      <c r="AI15" s="23"/>
      <c r="AJ15" s="46">
        <f>IF(GANTT!AJ15 &gt; 0, AM$3 - 1,"")</f>
        <v>45641</v>
      </c>
      <c r="AK15" s="21"/>
      <c r="AL15" s="23"/>
      <c r="AM15" s="46" t="str">
        <f>IF(GANTT!AM15 &gt; 0, AP$3 - 1,"")</f>
        <v/>
      </c>
      <c r="AN15" s="21"/>
      <c r="AO15" s="23"/>
    </row>
    <row r="16" spans="1:44" x14ac:dyDescent="0.3">
      <c r="A16">
        <v>3</v>
      </c>
      <c r="B16" s="19" t="s">
        <v>49</v>
      </c>
      <c r="C16" s="36" t="s">
        <v>50</v>
      </c>
      <c r="D16" s="19"/>
      <c r="E16" s="42">
        <f>GANTT!$F$16</f>
        <v>0</v>
      </c>
      <c r="F16" s="46">
        <f t="shared" si="33"/>
        <v>0</v>
      </c>
      <c r="G16" s="21">
        <f>SUMPRODUCT(I6:$AO$6, $I$16:$AO$16)</f>
        <v>0</v>
      </c>
      <c r="H16" s="22"/>
      <c r="I16" s="46" t="str">
        <f>IF(GANTT!I16 &gt; 0, L$3 - 1,"")</f>
        <v/>
      </c>
      <c r="J16" s="21"/>
      <c r="K16" s="23"/>
      <c r="L16" s="46" t="str">
        <f>IF(GANTT!L16 &gt; 0, O$3 - 1,"")</f>
        <v/>
      </c>
      <c r="M16" s="21"/>
      <c r="N16" s="23"/>
      <c r="O16" s="46" t="str">
        <f>IF(GANTT!O16 &gt; 0, R$3 - 1,"")</f>
        <v/>
      </c>
      <c r="P16" s="21"/>
      <c r="Q16" s="23"/>
      <c r="R16" s="46" t="str">
        <f>IF(GANTT!R16 &gt; 0, U$3 - 1,"")</f>
        <v/>
      </c>
      <c r="S16" s="21"/>
      <c r="T16" s="23"/>
      <c r="U16" s="46" t="str">
        <f>IF(GANTT!U16 &gt; 0, X$3 - 1,"")</f>
        <v/>
      </c>
      <c r="V16" s="21"/>
      <c r="W16" s="23"/>
      <c r="X16" s="46" t="str">
        <f>IF(GANTT!X16 &gt; 0, AA$3 - 1,"")</f>
        <v/>
      </c>
      <c r="Y16" s="21"/>
      <c r="Z16" s="23"/>
      <c r="AA16" s="46" t="str">
        <f>IF(GANTT!AA16 &gt; 0, AD$3 - 1,"")</f>
        <v/>
      </c>
      <c r="AB16" s="21"/>
      <c r="AC16" s="23"/>
      <c r="AD16" s="46" t="str">
        <f>IF(GANTT!AD16 &gt; 0, AG$3 - 1,"")</f>
        <v/>
      </c>
      <c r="AE16" s="21"/>
      <c r="AF16" s="23"/>
      <c r="AG16" s="46" t="str">
        <f>IF(GANTT!AG16 &gt; 0, AJ$3 - 1,"")</f>
        <v/>
      </c>
      <c r="AH16" s="21"/>
      <c r="AI16" s="23"/>
      <c r="AJ16" s="46" t="str">
        <f>IF(GANTT!AJ16 &gt; 0, AM$3 - 1,"")</f>
        <v/>
      </c>
      <c r="AK16" s="21"/>
      <c r="AL16" s="23"/>
      <c r="AM16" s="46" t="str">
        <f>IF(GANTT!AM16 &gt; 0, AP$3 - 1,"")</f>
        <v/>
      </c>
      <c r="AN16" s="21"/>
      <c r="AO16" s="23"/>
    </row>
    <row r="17" spans="1:41" x14ac:dyDescent="0.3">
      <c r="A17">
        <v>2</v>
      </c>
      <c r="B17" s="14" t="s">
        <v>51</v>
      </c>
      <c r="C17" s="37" t="s">
        <v>52</v>
      </c>
      <c r="D17" s="14"/>
      <c r="E17" s="40">
        <f>GANTT!$F$17</f>
        <v>42</v>
      </c>
      <c r="F17" s="45">
        <f t="shared" si="33"/>
        <v>45613</v>
      </c>
      <c r="G17" s="16">
        <f>SUM(G18,G19,G20,G21)</f>
        <v>0</v>
      </c>
      <c r="H17" s="17"/>
      <c r="I17" s="45" t="str">
        <f>IF(GANTT!I17 &gt; 0, L$3 - 1,"")</f>
        <v/>
      </c>
      <c r="J17" s="16">
        <f t="shared" ref="J17" si="45">SUM(J18,J19,J20,J21)</f>
        <v>0</v>
      </c>
      <c r="K17" s="18"/>
      <c r="L17" s="45" t="str">
        <f>IF(GANTT!L17 &gt; 0, O$3 - 1,"")</f>
        <v/>
      </c>
      <c r="M17" s="16">
        <f t="shared" ref="M17" si="46">SUM(M18,M19,M20,M21)</f>
        <v>0</v>
      </c>
      <c r="N17" s="18"/>
      <c r="O17" s="45">
        <f>IF(GANTT!O17 &gt; 0, R$3 - 1,"")</f>
        <v>45592</v>
      </c>
      <c r="P17" s="16">
        <f t="shared" ref="P17" si="47">SUM(P18,P19,P20,P21)</f>
        <v>0</v>
      </c>
      <c r="Q17" s="18"/>
      <c r="R17" s="45">
        <f>IF(GANTT!R17 &gt; 0, U$3 - 1,"")</f>
        <v>45599</v>
      </c>
      <c r="S17" s="16">
        <f t="shared" ref="S17" si="48">SUM(S18,S19,S20,S21)</f>
        <v>0</v>
      </c>
      <c r="T17" s="18"/>
      <c r="U17" s="45">
        <f>IF(GANTT!U17 &gt; 0, X$3 - 1,"")</f>
        <v>45606</v>
      </c>
      <c r="V17" s="16">
        <f t="shared" ref="V17" si="49">SUM(V18,V19,V20,V21)</f>
        <v>0</v>
      </c>
      <c r="W17" s="18"/>
      <c r="X17" s="45">
        <f>IF(GANTT!X17 &gt; 0, AA$3 - 1,"")</f>
        <v>45613</v>
      </c>
      <c r="Y17" s="16">
        <f t="shared" ref="Y17" si="50">SUM(Y18,Y19,Y20,Y21)</f>
        <v>0</v>
      </c>
      <c r="Z17" s="18"/>
      <c r="AA17" s="45" t="str">
        <f>IF(GANTT!AA17 &gt; 0, AD$3 - 1,"")</f>
        <v/>
      </c>
      <c r="AB17" s="16">
        <f t="shared" ref="AB17" si="51">SUM(AB18,AB19,AB20,AB21)</f>
        <v>0</v>
      </c>
      <c r="AC17" s="18"/>
      <c r="AD17" s="45" t="str">
        <f>IF(GANTT!AD17 &gt; 0, AG$3 - 1,"")</f>
        <v/>
      </c>
      <c r="AE17" s="16">
        <f t="shared" ref="AE17" si="52">SUM(AE18,AE19,AE20,AE21)</f>
        <v>0</v>
      </c>
      <c r="AF17" s="18"/>
      <c r="AG17" s="45" t="str">
        <f>IF(GANTT!AG17 &gt; 0, AJ$3 - 1,"")</f>
        <v/>
      </c>
      <c r="AH17" s="16">
        <f t="shared" ref="AH17" si="53">SUM(AH18,AH19,AH20,AH21)</f>
        <v>0</v>
      </c>
      <c r="AI17" s="18"/>
      <c r="AJ17" s="45" t="str">
        <f>IF(GANTT!AJ17 &gt; 0, AM$3 - 1,"")</f>
        <v/>
      </c>
      <c r="AK17" s="16">
        <f t="shared" ref="AK17" si="54">SUM(AK18,AK19,AK20,AK21)</f>
        <v>0</v>
      </c>
      <c r="AL17" s="18"/>
      <c r="AM17" s="45" t="str">
        <f>IF(GANTT!AM17 &gt; 0, AP$3 - 1,"")</f>
        <v/>
      </c>
      <c r="AN17" s="16">
        <f t="shared" ref="AN17" si="55">SUM(AN18,AN19,AN20,AN21)</f>
        <v>0</v>
      </c>
      <c r="AO17" s="18"/>
    </row>
    <row r="18" spans="1:41" x14ac:dyDescent="0.3">
      <c r="A18">
        <v>3</v>
      </c>
      <c r="B18" s="19" t="s">
        <v>53</v>
      </c>
      <c r="C18" s="36" t="s">
        <v>54</v>
      </c>
      <c r="D18" s="19"/>
      <c r="E18" s="42">
        <f>GANTT!$F$18</f>
        <v>12</v>
      </c>
      <c r="F18" s="46">
        <f t="shared" si="33"/>
        <v>45606</v>
      </c>
      <c r="G18" s="21">
        <f>SUMPRODUCT(I6:$AO$6, $I$18:$AO$18)</f>
        <v>0</v>
      </c>
      <c r="H18" s="22"/>
      <c r="I18" s="46" t="str">
        <f>IF(GANTT!I18 &gt; 0, L$3 - 1,"")</f>
        <v/>
      </c>
      <c r="J18" s="21"/>
      <c r="K18" s="23"/>
      <c r="L18" s="46" t="str">
        <f>IF(GANTT!L18 &gt; 0, O$3 - 1,"")</f>
        <v/>
      </c>
      <c r="M18" s="21"/>
      <c r="N18" s="23"/>
      <c r="O18" s="46">
        <f>IF(GANTT!O18 &gt; 0, R$3 - 1,"")</f>
        <v>45592</v>
      </c>
      <c r="P18" s="21"/>
      <c r="Q18" s="23"/>
      <c r="R18" s="46">
        <f>IF(GANTT!R18 &gt; 0, U$3 - 1,"")</f>
        <v>45599</v>
      </c>
      <c r="S18" s="21"/>
      <c r="T18" s="23"/>
      <c r="U18" s="46">
        <f>IF(GANTT!U18 &gt; 0, X$3 - 1,"")</f>
        <v>45606</v>
      </c>
      <c r="V18" s="21"/>
      <c r="W18" s="23"/>
      <c r="X18" s="46" t="str">
        <f>IF(GANTT!X18 &gt; 0, AA$3 - 1,"")</f>
        <v/>
      </c>
      <c r="Y18" s="21"/>
      <c r="Z18" s="23"/>
      <c r="AA18" s="46" t="str">
        <f>IF(GANTT!AA18 &gt; 0, AD$3 - 1,"")</f>
        <v/>
      </c>
      <c r="AB18" s="21"/>
      <c r="AC18" s="23"/>
      <c r="AD18" s="46" t="str">
        <f>IF(GANTT!AD18 &gt; 0, AG$3 - 1,"")</f>
        <v/>
      </c>
      <c r="AE18" s="21"/>
      <c r="AF18" s="23"/>
      <c r="AG18" s="46" t="str">
        <f>IF(GANTT!AG18 &gt; 0, AJ$3 - 1,"")</f>
        <v/>
      </c>
      <c r="AH18" s="21"/>
      <c r="AI18" s="23"/>
      <c r="AJ18" s="46" t="str">
        <f>IF(GANTT!AJ18 &gt; 0, AM$3 - 1,"")</f>
        <v/>
      </c>
      <c r="AK18" s="21"/>
      <c r="AL18" s="23"/>
      <c r="AM18" s="46" t="str">
        <f>IF(GANTT!AM18 &gt; 0, AP$3 - 1,"")</f>
        <v/>
      </c>
      <c r="AN18" s="21"/>
      <c r="AO18" s="23"/>
    </row>
    <row r="19" spans="1:41" x14ac:dyDescent="0.3">
      <c r="A19">
        <v>3</v>
      </c>
      <c r="B19" s="19" t="s">
        <v>55</v>
      </c>
      <c r="C19" s="36" t="s">
        <v>56</v>
      </c>
      <c r="D19" s="19"/>
      <c r="E19" s="42">
        <f>GANTT!$F$19</f>
        <v>6</v>
      </c>
      <c r="F19" s="46">
        <f t="shared" si="33"/>
        <v>45606</v>
      </c>
      <c r="G19" s="21">
        <f>SUMPRODUCT(I6:$AO$6, $I$19:$AO$19)</f>
        <v>0</v>
      </c>
      <c r="H19" s="22"/>
      <c r="I19" s="46" t="str">
        <f>IF(GANTT!I19 &gt; 0, L$3 - 1,"")</f>
        <v/>
      </c>
      <c r="J19" s="21"/>
      <c r="K19" s="23"/>
      <c r="L19" s="46" t="str">
        <f>IF(GANTT!L19 &gt; 0, O$3 - 1,"")</f>
        <v/>
      </c>
      <c r="M19" s="21"/>
      <c r="N19" s="23"/>
      <c r="O19" s="46" t="str">
        <f>IF(GANTT!O19 &gt; 0, R$3 - 1,"")</f>
        <v/>
      </c>
      <c r="P19" s="21"/>
      <c r="Q19" s="23"/>
      <c r="R19" s="46">
        <f>IF(GANTT!R19 &gt; 0, U$3 - 1,"")</f>
        <v>45599</v>
      </c>
      <c r="S19" s="21"/>
      <c r="T19" s="23"/>
      <c r="U19" s="46">
        <f>IF(GANTT!U19 &gt; 0, X$3 - 1,"")</f>
        <v>45606</v>
      </c>
      <c r="V19" s="21"/>
      <c r="W19" s="23"/>
      <c r="X19" s="46" t="str">
        <f>IF(GANTT!X19 &gt; 0, AA$3 - 1,"")</f>
        <v/>
      </c>
      <c r="Y19" s="21"/>
      <c r="Z19" s="23"/>
      <c r="AA19" s="46" t="str">
        <f>IF(GANTT!AA19 &gt; 0, AD$3 - 1,"")</f>
        <v/>
      </c>
      <c r="AB19" s="21"/>
      <c r="AC19" s="23"/>
      <c r="AD19" s="46" t="str">
        <f>IF(GANTT!AD19 &gt; 0, AG$3 - 1,"")</f>
        <v/>
      </c>
      <c r="AE19" s="21"/>
      <c r="AF19" s="23"/>
      <c r="AG19" s="46" t="str">
        <f>IF(GANTT!AG19 &gt; 0, AJ$3 - 1,"")</f>
        <v/>
      </c>
      <c r="AH19" s="21"/>
      <c r="AI19" s="23"/>
      <c r="AJ19" s="46" t="str">
        <f>IF(GANTT!AJ19 &gt; 0, AM$3 - 1,"")</f>
        <v/>
      </c>
      <c r="AK19" s="21"/>
      <c r="AL19" s="23"/>
      <c r="AM19" s="46" t="str">
        <f>IF(GANTT!AM19 &gt; 0, AP$3 - 1,"")</f>
        <v/>
      </c>
      <c r="AN19" s="21"/>
      <c r="AO19" s="23"/>
    </row>
    <row r="20" spans="1:41" x14ac:dyDescent="0.3">
      <c r="A20">
        <v>3</v>
      </c>
      <c r="B20" s="19" t="s">
        <v>57</v>
      </c>
      <c r="C20" s="36" t="s">
        <v>58</v>
      </c>
      <c r="D20" s="19"/>
      <c r="E20" s="42">
        <f>GANTT!$F$20</f>
        <v>24</v>
      </c>
      <c r="F20" s="46">
        <f t="shared" si="33"/>
        <v>45613</v>
      </c>
      <c r="G20" s="21">
        <f>SUMPRODUCT(I6:$AO$6, $I$20:$AO$20)</f>
        <v>0</v>
      </c>
      <c r="H20" s="22"/>
      <c r="I20" s="46" t="str">
        <f>IF(GANTT!I20 &gt; 0, L$3 - 1,"")</f>
        <v/>
      </c>
      <c r="J20" s="21"/>
      <c r="K20" s="23"/>
      <c r="L20" s="46" t="str">
        <f>IF(GANTT!L20 &gt; 0, O$3 - 1,"")</f>
        <v/>
      </c>
      <c r="M20" s="21"/>
      <c r="N20" s="23"/>
      <c r="O20" s="46">
        <f>IF(GANTT!O20 &gt; 0, R$3 - 1,"")</f>
        <v>45592</v>
      </c>
      <c r="P20" s="21"/>
      <c r="Q20" s="23"/>
      <c r="R20" s="46">
        <f>IF(GANTT!R20 &gt; 0, U$3 - 1,"")</f>
        <v>45599</v>
      </c>
      <c r="S20" s="21"/>
      <c r="T20" s="23"/>
      <c r="U20" s="46">
        <f>IF(GANTT!U20 &gt; 0, X$3 - 1,"")</f>
        <v>45606</v>
      </c>
      <c r="V20" s="21"/>
      <c r="W20" s="23"/>
      <c r="X20" s="46">
        <f>IF(GANTT!X20 &gt; 0, AA$3 - 1,"")</f>
        <v>45613</v>
      </c>
      <c r="Y20" s="21"/>
      <c r="Z20" s="23"/>
      <c r="AA20" s="46" t="str">
        <f>IF(GANTT!AA20 &gt; 0, AD$3 - 1,"")</f>
        <v/>
      </c>
      <c r="AB20" s="21"/>
      <c r="AC20" s="23"/>
      <c r="AD20" s="46" t="str">
        <f>IF(GANTT!AD20 &gt; 0, AG$3 - 1,"")</f>
        <v/>
      </c>
      <c r="AE20" s="21"/>
      <c r="AF20" s="23"/>
      <c r="AG20" s="46" t="str">
        <f>IF(GANTT!AG20 &gt; 0, AJ$3 - 1,"")</f>
        <v/>
      </c>
      <c r="AH20" s="21"/>
      <c r="AI20" s="23"/>
      <c r="AJ20" s="46" t="str">
        <f>IF(GANTT!AJ20 &gt; 0, AM$3 - 1,"")</f>
        <v/>
      </c>
      <c r="AK20" s="21"/>
      <c r="AL20" s="23"/>
      <c r="AM20" s="46" t="str">
        <f>IF(GANTT!AM20 &gt; 0, AP$3 - 1,"")</f>
        <v/>
      </c>
      <c r="AN20" s="21"/>
      <c r="AO20" s="23"/>
    </row>
    <row r="21" spans="1:41" x14ac:dyDescent="0.3">
      <c r="A21">
        <v>3</v>
      </c>
      <c r="B21" s="19" t="s">
        <v>59</v>
      </c>
      <c r="C21" s="36" t="s">
        <v>60</v>
      </c>
      <c r="D21" s="19"/>
      <c r="E21" s="42">
        <f>GANTT!$F$21</f>
        <v>0</v>
      </c>
      <c r="F21" s="46">
        <f t="shared" si="33"/>
        <v>0</v>
      </c>
      <c r="G21" s="21">
        <f>SUMPRODUCT(I6:$AO$6, $I$21:$AO$21)</f>
        <v>0</v>
      </c>
      <c r="H21" s="22"/>
      <c r="I21" s="46" t="str">
        <f>IF(GANTT!I21 &gt; 0, L$3 - 1,"")</f>
        <v/>
      </c>
      <c r="J21" s="21"/>
      <c r="K21" s="23"/>
      <c r="L21" s="46" t="str">
        <f>IF(GANTT!L21 &gt; 0, O$3 - 1,"")</f>
        <v/>
      </c>
      <c r="M21" s="21"/>
      <c r="N21" s="23"/>
      <c r="O21" s="46" t="str">
        <f>IF(GANTT!O21 &gt; 0, R$3 - 1,"")</f>
        <v/>
      </c>
      <c r="P21" s="21"/>
      <c r="Q21" s="23"/>
      <c r="R21" s="46" t="str">
        <f>IF(GANTT!R21 &gt; 0, U$3 - 1,"")</f>
        <v/>
      </c>
      <c r="S21" s="21"/>
      <c r="T21" s="23"/>
      <c r="U21" s="46" t="str">
        <f>IF(GANTT!U21 &gt; 0, X$3 - 1,"")</f>
        <v/>
      </c>
      <c r="V21" s="21"/>
      <c r="W21" s="23"/>
      <c r="X21" s="46" t="str">
        <f>IF(GANTT!X21 &gt; 0, AA$3 - 1,"")</f>
        <v/>
      </c>
      <c r="Y21" s="21"/>
      <c r="Z21" s="23"/>
      <c r="AA21" s="46" t="str">
        <f>IF(GANTT!AA21 &gt; 0, AD$3 - 1,"")</f>
        <v/>
      </c>
      <c r="AB21" s="21"/>
      <c r="AC21" s="23"/>
      <c r="AD21" s="46" t="str">
        <f>IF(GANTT!AD21 &gt; 0, AG$3 - 1,"")</f>
        <v/>
      </c>
      <c r="AE21" s="21"/>
      <c r="AF21" s="23"/>
      <c r="AG21" s="46" t="str">
        <f>IF(GANTT!AG21 &gt; 0, AJ$3 - 1,"")</f>
        <v/>
      </c>
      <c r="AH21" s="21"/>
      <c r="AI21" s="23"/>
      <c r="AJ21" s="46" t="str">
        <f>IF(GANTT!AJ21 &gt; 0, AM$3 - 1,"")</f>
        <v/>
      </c>
      <c r="AK21" s="21"/>
      <c r="AL21" s="23"/>
      <c r="AM21" s="46" t="str">
        <f>IF(GANTT!AM21 &gt; 0, AP$3 - 1,"")</f>
        <v/>
      </c>
      <c r="AN21" s="21"/>
      <c r="AO21" s="23"/>
    </row>
    <row r="22" spans="1:41" x14ac:dyDescent="0.3">
      <c r="E22">
        <f>GANTT!$F$22</f>
        <v>0</v>
      </c>
      <c r="F22" s="43">
        <f t="shared" si="33"/>
        <v>0</v>
      </c>
      <c r="I22" s="43" t="str">
        <f>IF(GANTT!I22 &gt; 0, L$3 - 1,"")</f>
        <v/>
      </c>
      <c r="L22" s="43" t="str">
        <f>IF(GANTT!L22 &gt; 0, O$3 - 1,"")</f>
        <v/>
      </c>
      <c r="O22" s="43" t="str">
        <f>IF(GANTT!O22 &gt; 0, R$3 - 1,"")</f>
        <v/>
      </c>
      <c r="R22" s="43" t="str">
        <f>IF(GANTT!R22 &gt; 0, U$3 - 1,"")</f>
        <v/>
      </c>
      <c r="U22" s="43" t="str">
        <f>IF(GANTT!U22 &gt; 0, X$3 - 1,"")</f>
        <v/>
      </c>
      <c r="X22" s="43" t="str">
        <f>IF(GANTT!X22 &gt; 0, AA$3 - 1,"")</f>
        <v/>
      </c>
      <c r="AA22" s="43" t="str">
        <f>IF(GANTT!AA22 &gt; 0, AD$3 - 1,"")</f>
        <v/>
      </c>
      <c r="AD22" s="43" t="str">
        <f>IF(GANTT!AD22 &gt; 0, AG$3 - 1,"")</f>
        <v/>
      </c>
      <c r="AG22" s="43" t="str">
        <f>IF(GANTT!AG22 &gt; 0, AJ$3 - 1,"")</f>
        <v/>
      </c>
      <c r="AJ22" s="43" t="str">
        <f>IF(GANTT!AJ22 &gt; 0, AM$3 - 1,"")</f>
        <v/>
      </c>
      <c r="AM22" s="43" t="str">
        <f>IF(GANTT!AM22 &gt; 0, AP$3 - 1,"")</f>
        <v/>
      </c>
    </row>
  </sheetData>
  <mergeCells count="23">
    <mergeCell ref="AJ2:AL2"/>
    <mergeCell ref="AM2:AO2"/>
    <mergeCell ref="F2:H2"/>
    <mergeCell ref="I2:K2"/>
    <mergeCell ref="L2:N2"/>
    <mergeCell ref="O2:Q2"/>
    <mergeCell ref="R2:T2"/>
    <mergeCell ref="U2:W2"/>
    <mergeCell ref="X3:Z3"/>
    <mergeCell ref="X2:Z2"/>
    <mergeCell ref="AA2:AC2"/>
    <mergeCell ref="AD2:AF2"/>
    <mergeCell ref="AG2:AI2"/>
    <mergeCell ref="I3:K3"/>
    <mergeCell ref="L3:N3"/>
    <mergeCell ref="O3:Q3"/>
    <mergeCell ref="R3:T3"/>
    <mergeCell ref="U3:W3"/>
    <mergeCell ref="AA3:AC3"/>
    <mergeCell ref="AD3:AF3"/>
    <mergeCell ref="AG3:AI3"/>
    <mergeCell ref="AJ3:AL3"/>
    <mergeCell ref="AM3:AO3"/>
  </mergeCells>
  <conditionalFormatting sqref="I2:N3">
    <cfRule type="expression" dxfId="106" priority="19">
      <formula>AND(YEAR(TODAY()) = YEAR(I$3-1),WEEKNUM(TODAY()) = WEEKNUM(I$3-1))</formula>
    </cfRule>
  </conditionalFormatting>
  <conditionalFormatting sqref="B10:C16 B18:C21">
    <cfRule type="expression" dxfId="105" priority="18">
      <formula>$E10=0</formula>
    </cfRule>
  </conditionalFormatting>
  <conditionalFormatting sqref="F10:H16 F18:H21">
    <cfRule type="expression" dxfId="104" priority="17">
      <formula>F10 = 0</formula>
    </cfRule>
  </conditionalFormatting>
  <conditionalFormatting sqref="K10:K16 N10:N16 N18:N21 K18:K21">
    <cfRule type="expression" dxfId="103" priority="13">
      <formula>(K10=H10)</formula>
    </cfRule>
  </conditionalFormatting>
  <conditionalFormatting sqref="I10:N16 I18:N21">
    <cfRule type="expression" dxfId="102" priority="14">
      <formula>AND(INDEX($I10:K10,FLOOR((COLUMN(I6)-COLUMN($I6)) / 3,1)*3+1) &gt; 0,$A11 &gt; $A10)</formula>
    </cfRule>
    <cfRule type="expression" dxfId="101" priority="15">
      <formula>INDEX($I10:K10,FLOOR((COLUMN(I6)-COLUMN($I6)) / 3,1)*3+1) &gt; 0</formula>
    </cfRule>
    <cfRule type="expression" dxfId="100" priority="16">
      <formula>I10 = 0</formula>
    </cfRule>
  </conditionalFormatting>
  <conditionalFormatting sqref="B17:C17 B9:C9">
    <cfRule type="expression" dxfId="99" priority="12">
      <formula>$E9=0</formula>
    </cfRule>
  </conditionalFormatting>
  <conditionalFormatting sqref="F17:H17 F9:H9">
    <cfRule type="expression" dxfId="98" priority="11">
      <formula>F9 = 0</formula>
    </cfRule>
  </conditionalFormatting>
  <conditionalFormatting sqref="K17 N17 K9 N9">
    <cfRule type="expression" dxfId="97" priority="7">
      <formula>(K9=H9)</formula>
    </cfRule>
  </conditionalFormatting>
  <conditionalFormatting sqref="I17:AO17 I9:AO9">
    <cfRule type="expression" dxfId="96" priority="8">
      <formula>AND(INDEX($I9:K9,FLOOR((COLUMN(I5)-COLUMN($I5)) / 3,1)*3+1) &gt; 0,$A10 &gt; $A9)</formula>
    </cfRule>
    <cfRule type="expression" dxfId="95" priority="9">
      <formula>INDEX($I9:K9,FLOOR((COLUMN(I5)-COLUMN($I5)) / 3,1)*3+1) &gt; 0</formula>
    </cfRule>
    <cfRule type="expression" dxfId="94" priority="10">
      <formula>I9 = 0</formula>
    </cfRule>
  </conditionalFormatting>
  <conditionalFormatting sqref="O2:AO3">
    <cfRule type="expression" dxfId="93" priority="6">
      <formula>AND(YEAR(TODAY()) = YEAR(O$3-1),WEEKNUM(TODAY()) = WEEKNUM(O$3-1))</formula>
    </cfRule>
  </conditionalFormatting>
  <conditionalFormatting sqref="Q10:Q16 T10:T16 W10:W16 Z10:Z16 AC10:AC16 AF10:AF16 AI10:AI16 AL10:AL16 AO10:AO16 Q18:Q21 T18:T21 W18:W21 Z18:Z21 AC18:AC21 AF18:AF21 AI18:AI21 AL18:AL21 AO18:AO21">
    <cfRule type="expression" dxfId="92" priority="2">
      <formula>(Q10=N10)</formula>
    </cfRule>
  </conditionalFormatting>
  <conditionalFormatting sqref="O10:AO16 O18:AO21">
    <cfRule type="expression" dxfId="91" priority="3">
      <formula>AND(INDEX($I10:Q10,FLOOR((COLUMN(O6)-COLUMN($I6)) / 3,1)*3+1) &gt; 0,$A11 &gt; $A10)</formula>
    </cfRule>
    <cfRule type="expression" dxfId="90" priority="4">
      <formula>INDEX($I10:Q10,FLOOR((COLUMN(O6)-COLUMN($I6)) / 3,1)*3+1) &gt; 0</formula>
    </cfRule>
    <cfRule type="expression" dxfId="89" priority="5">
      <formula>O10 = 0</formula>
    </cfRule>
  </conditionalFormatting>
  <conditionalFormatting sqref="Q17 T17 W17 Z17 AC17 AF17 AI17 AL17 AO17 Q9 T9 W9 Z9 AC9 AF9 AI9 AL9 AO9">
    <cfRule type="expression" dxfId="88" priority="1">
      <formula>(Q9=N9)</formula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0971-56C1-436C-853D-49731625C82B}">
  <dimension ref="A1:AO22"/>
  <sheetViews>
    <sheetView topLeftCell="B1" workbookViewId="0">
      <selection activeCell="M11" sqref="M11"/>
    </sheetView>
  </sheetViews>
  <sheetFormatPr defaultColWidth="11.5546875" defaultRowHeight="14.4" x14ac:dyDescent="0.3"/>
  <cols>
    <col min="1" max="1" width="2" hidden="1" customWidth="1"/>
    <col min="2" max="2" width="5.109375" bestFit="1" customWidth="1"/>
    <col min="3" max="3" width="34.6640625" bestFit="1" customWidth="1"/>
    <col min="5" max="5" width="5.6640625" hidden="1" customWidth="1"/>
    <col min="8" max="8" width="0" hidden="1" customWidth="1"/>
    <col min="11" max="11" width="0" hidden="1" customWidth="1"/>
    <col min="14" max="14" width="0" hidden="1" customWidth="1"/>
    <col min="17" max="17" width="0" hidden="1" customWidth="1"/>
    <col min="20" max="20" width="0" hidden="1" customWidth="1"/>
    <col min="23" max="23" width="0" hidden="1" customWidth="1"/>
    <col min="26" max="26" width="0" hidden="1" customWidth="1"/>
    <col min="29" max="29" width="0" hidden="1" customWidth="1"/>
    <col min="32" max="32" width="0" hidden="1" customWidth="1"/>
    <col min="35" max="35" width="0" hidden="1" customWidth="1"/>
    <col min="38" max="38" width="0" hidden="1" customWidth="1"/>
    <col min="41" max="41" width="0" hidden="1" customWidth="1"/>
  </cols>
  <sheetData>
    <row r="1" spans="1:41" x14ac:dyDescent="0.3">
      <c r="B1" s="32"/>
    </row>
    <row r="2" spans="1:41" ht="27" x14ac:dyDescent="0.3">
      <c r="B2" s="1" t="s">
        <v>1</v>
      </c>
      <c r="C2" s="2" t="s">
        <v>2</v>
      </c>
      <c r="D2" s="2" t="s">
        <v>3</v>
      </c>
      <c r="E2" s="2"/>
      <c r="F2" s="68" t="s">
        <v>4</v>
      </c>
      <c r="G2" s="68"/>
      <c r="H2" s="69"/>
      <c r="I2" s="67" t="str">
        <f>"Woche " &amp; (COLUMN(I2) - COLUMN($I2)) / 3 + 1</f>
        <v>Woche 1</v>
      </c>
      <c r="J2" s="67"/>
      <c r="K2" s="67"/>
      <c r="L2" s="67" t="str">
        <f t="shared" ref="L2" si="0">"Woche " &amp; (COLUMN(L2) - COLUMN($I2)) / 3 + 1</f>
        <v>Woche 2</v>
      </c>
      <c r="M2" s="67"/>
      <c r="N2" s="67"/>
      <c r="O2" s="67" t="str">
        <f t="shared" ref="O2:AM2" si="1">"Woche " &amp; (COLUMN(O2) - COLUMN($I2)) / 3 + 1</f>
        <v>Woche 3</v>
      </c>
      <c r="P2" s="67"/>
      <c r="Q2" s="67"/>
      <c r="R2" s="67" t="str">
        <f t="shared" si="1"/>
        <v>Woche 4</v>
      </c>
      <c r="S2" s="67"/>
      <c r="T2" s="67"/>
      <c r="U2" s="67" t="str">
        <f t="shared" si="1"/>
        <v>Woche 5</v>
      </c>
      <c r="V2" s="67"/>
      <c r="W2" s="67"/>
      <c r="X2" s="67" t="str">
        <f t="shared" si="1"/>
        <v>Woche 6</v>
      </c>
      <c r="Y2" s="67"/>
      <c r="Z2" s="67"/>
      <c r="AA2" s="67" t="str">
        <f t="shared" si="1"/>
        <v>Woche 7</v>
      </c>
      <c r="AB2" s="67"/>
      <c r="AC2" s="67"/>
      <c r="AD2" s="67" t="str">
        <f t="shared" si="1"/>
        <v>Woche 8</v>
      </c>
      <c r="AE2" s="67"/>
      <c r="AF2" s="67"/>
      <c r="AG2" s="67" t="str">
        <f t="shared" si="1"/>
        <v>Woche 9</v>
      </c>
      <c r="AH2" s="67"/>
      <c r="AI2" s="67"/>
      <c r="AJ2" s="67" t="str">
        <f t="shared" si="1"/>
        <v>Woche 10</v>
      </c>
      <c r="AK2" s="67"/>
      <c r="AL2" s="67"/>
      <c r="AM2" s="67" t="str">
        <f t="shared" si="1"/>
        <v>Woche 11</v>
      </c>
      <c r="AN2" s="67"/>
      <c r="AO2" s="67"/>
    </row>
    <row r="3" spans="1:41" x14ac:dyDescent="0.3">
      <c r="B3" s="1"/>
      <c r="C3" s="2"/>
      <c r="D3" s="2"/>
      <c r="E3" s="2"/>
      <c r="F3" s="3"/>
      <c r="G3" s="3"/>
      <c r="H3" s="4"/>
      <c r="I3" s="66">
        <v>45572</v>
      </c>
      <c r="J3" s="66"/>
      <c r="K3" s="66"/>
      <c r="L3" s="66">
        <f>I3+7</f>
        <v>45579</v>
      </c>
      <c r="M3" s="66"/>
      <c r="N3" s="66"/>
      <c r="O3" s="66">
        <f t="shared" ref="O3" si="2">L3+7</f>
        <v>45586</v>
      </c>
      <c r="P3" s="66"/>
      <c r="Q3" s="66"/>
      <c r="R3" s="66">
        <f t="shared" ref="R3" si="3">O3+7</f>
        <v>45593</v>
      </c>
      <c r="S3" s="66"/>
      <c r="T3" s="66"/>
      <c r="U3" s="66">
        <f t="shared" ref="U3" si="4">R3+7</f>
        <v>45600</v>
      </c>
      <c r="V3" s="66"/>
      <c r="W3" s="66"/>
      <c r="X3" s="66">
        <f t="shared" ref="X3" si="5">U3+7</f>
        <v>45607</v>
      </c>
      <c r="Y3" s="66"/>
      <c r="Z3" s="66"/>
      <c r="AA3" s="66">
        <f t="shared" ref="AA3" si="6">X3+7</f>
        <v>45614</v>
      </c>
      <c r="AB3" s="66"/>
      <c r="AC3" s="66"/>
      <c r="AD3" s="66">
        <f t="shared" ref="AD3" si="7">AA3+7</f>
        <v>45621</v>
      </c>
      <c r="AE3" s="66"/>
      <c r="AF3" s="66"/>
      <c r="AG3" s="66">
        <f t="shared" ref="AG3" si="8">AD3+7</f>
        <v>45628</v>
      </c>
      <c r="AH3" s="66"/>
      <c r="AI3" s="66"/>
      <c r="AJ3" s="66">
        <f t="shared" ref="AJ3" si="9">AG3+7</f>
        <v>45635</v>
      </c>
      <c r="AK3" s="66"/>
      <c r="AL3" s="66"/>
      <c r="AM3" s="66">
        <f t="shared" ref="AM3" si="10">AJ3+7</f>
        <v>45642</v>
      </c>
      <c r="AN3" s="66"/>
      <c r="AO3" s="66"/>
    </row>
    <row r="4" spans="1:41" x14ac:dyDescent="0.3">
      <c r="B4" s="1"/>
      <c r="C4" s="2"/>
      <c r="D4" s="2"/>
      <c r="E4" s="2"/>
      <c r="F4" s="5" t="s">
        <v>5</v>
      </c>
      <c r="G4" s="5" t="s">
        <v>6</v>
      </c>
      <c r="H4" s="6" t="s">
        <v>7</v>
      </c>
      <c r="I4" s="5" t="s">
        <v>5</v>
      </c>
      <c r="J4" s="5" t="s">
        <v>8</v>
      </c>
      <c r="K4" s="5" t="s">
        <v>7</v>
      </c>
      <c r="L4" s="5" t="s">
        <v>5</v>
      </c>
      <c r="M4" s="5" t="s">
        <v>8</v>
      </c>
      <c r="N4" s="5" t="s">
        <v>7</v>
      </c>
      <c r="O4" s="5" t="s">
        <v>5</v>
      </c>
      <c r="P4" s="5" t="s">
        <v>8</v>
      </c>
      <c r="Q4" s="5" t="s">
        <v>7</v>
      </c>
      <c r="R4" s="5" t="s">
        <v>5</v>
      </c>
      <c r="S4" s="5" t="s">
        <v>8</v>
      </c>
      <c r="T4" s="5" t="s">
        <v>7</v>
      </c>
      <c r="U4" s="5" t="s">
        <v>5</v>
      </c>
      <c r="V4" s="5" t="s">
        <v>8</v>
      </c>
      <c r="W4" s="5" t="s">
        <v>7</v>
      </c>
      <c r="X4" s="5" t="s">
        <v>5</v>
      </c>
      <c r="Y4" s="5" t="s">
        <v>8</v>
      </c>
      <c r="Z4" s="5" t="s">
        <v>7</v>
      </c>
      <c r="AA4" s="5" t="s">
        <v>5</v>
      </c>
      <c r="AB4" s="5" t="s">
        <v>8</v>
      </c>
      <c r="AC4" s="5" t="s">
        <v>7</v>
      </c>
      <c r="AD4" s="5" t="s">
        <v>5</v>
      </c>
      <c r="AE4" s="5" t="s">
        <v>8</v>
      </c>
      <c r="AF4" s="5" t="s">
        <v>7</v>
      </c>
      <c r="AG4" s="5" t="s">
        <v>5</v>
      </c>
      <c r="AH4" s="5" t="s">
        <v>8</v>
      </c>
      <c r="AI4" s="5" t="s">
        <v>7</v>
      </c>
      <c r="AJ4" s="5" t="s">
        <v>5</v>
      </c>
      <c r="AK4" s="5" t="s">
        <v>8</v>
      </c>
      <c r="AL4" s="5" t="s">
        <v>7</v>
      </c>
      <c r="AM4" s="5" t="s">
        <v>5</v>
      </c>
      <c r="AN4" s="5" t="s">
        <v>8</v>
      </c>
      <c r="AO4" s="5" t="s">
        <v>7</v>
      </c>
    </row>
    <row r="5" spans="1:41" hidden="1" x14ac:dyDescent="0.3">
      <c r="B5" s="1"/>
      <c r="C5" s="2"/>
      <c r="D5" s="2"/>
      <c r="E5" s="2"/>
      <c r="F5" t="s">
        <v>9</v>
      </c>
      <c r="H5" s="7"/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1</v>
      </c>
      <c r="P5">
        <v>0</v>
      </c>
      <c r="Q5">
        <v>0</v>
      </c>
      <c r="R5">
        <v>1</v>
      </c>
      <c r="S5">
        <v>0</v>
      </c>
      <c r="T5">
        <v>0</v>
      </c>
      <c r="U5">
        <v>1</v>
      </c>
      <c r="V5">
        <v>0</v>
      </c>
      <c r="W5">
        <v>0</v>
      </c>
      <c r="X5">
        <v>1</v>
      </c>
      <c r="Y5">
        <v>0</v>
      </c>
      <c r="Z5">
        <v>0</v>
      </c>
      <c r="AA5">
        <v>1</v>
      </c>
      <c r="AB5">
        <v>0</v>
      </c>
      <c r="AC5">
        <v>0</v>
      </c>
      <c r="AD5">
        <v>1</v>
      </c>
      <c r="AE5">
        <v>0</v>
      </c>
      <c r="AF5">
        <v>0</v>
      </c>
      <c r="AG5">
        <v>1</v>
      </c>
      <c r="AH5">
        <v>0</v>
      </c>
      <c r="AI5">
        <v>0</v>
      </c>
      <c r="AJ5">
        <v>1</v>
      </c>
      <c r="AK5">
        <v>0</v>
      </c>
      <c r="AL5">
        <v>0</v>
      </c>
      <c r="AM5">
        <v>1</v>
      </c>
      <c r="AN5">
        <v>0</v>
      </c>
      <c r="AO5">
        <v>0</v>
      </c>
    </row>
    <row r="6" spans="1:41" hidden="1" x14ac:dyDescent="0.3">
      <c r="B6" s="32"/>
      <c r="F6" t="s">
        <v>10</v>
      </c>
      <c r="H6" s="7"/>
      <c r="I6">
        <v>0</v>
      </c>
      <c r="J6">
        <v>1</v>
      </c>
      <c r="K6">
        <v>0</v>
      </c>
      <c r="L6">
        <v>0</v>
      </c>
      <c r="M6">
        <v>1</v>
      </c>
      <c r="N6">
        <v>0</v>
      </c>
      <c r="O6">
        <v>0</v>
      </c>
      <c r="P6">
        <v>1</v>
      </c>
      <c r="Q6">
        <v>0</v>
      </c>
      <c r="R6">
        <v>0</v>
      </c>
      <c r="S6">
        <v>1</v>
      </c>
      <c r="T6">
        <v>0</v>
      </c>
      <c r="U6">
        <v>0</v>
      </c>
      <c r="V6">
        <v>1</v>
      </c>
      <c r="W6">
        <v>0</v>
      </c>
      <c r="X6">
        <v>0</v>
      </c>
      <c r="Y6">
        <v>1</v>
      </c>
      <c r="Z6">
        <v>0</v>
      </c>
      <c r="AA6">
        <v>0</v>
      </c>
      <c r="AB6">
        <v>1</v>
      </c>
      <c r="AC6">
        <v>0</v>
      </c>
      <c r="AD6">
        <v>0</v>
      </c>
      <c r="AE6">
        <v>1</v>
      </c>
      <c r="AF6">
        <v>0</v>
      </c>
      <c r="AG6">
        <v>0</v>
      </c>
      <c r="AH6">
        <v>1</v>
      </c>
      <c r="AI6">
        <v>0</v>
      </c>
      <c r="AJ6">
        <v>0</v>
      </c>
      <c r="AK6">
        <v>1</v>
      </c>
      <c r="AL6">
        <v>0</v>
      </c>
      <c r="AM6">
        <v>0</v>
      </c>
      <c r="AN6">
        <v>1</v>
      </c>
      <c r="AO6">
        <v>0</v>
      </c>
    </row>
    <row r="7" spans="1:41" x14ac:dyDescent="0.3">
      <c r="B7" s="32"/>
      <c r="F7" s="8"/>
      <c r="G7" s="8"/>
      <c r="H7" s="7" t="s">
        <v>11</v>
      </c>
      <c r="I7" s="9">
        <f>I8</f>
        <v>5</v>
      </c>
      <c r="J7" s="9">
        <f>J8</f>
        <v>3</v>
      </c>
      <c r="L7" s="9">
        <f t="shared" ref="L7:M7" si="11">L8+I7</f>
        <v>10</v>
      </c>
      <c r="M7" s="9">
        <f t="shared" si="11"/>
        <v>8</v>
      </c>
      <c r="O7" s="9">
        <f t="shared" ref="O7:P7" si="12">O8+L7</f>
        <v>15</v>
      </c>
      <c r="P7" s="9">
        <f t="shared" si="12"/>
        <v>8</v>
      </c>
      <c r="R7" s="9">
        <f t="shared" ref="R7:S7" si="13">R8+O7</f>
        <v>20</v>
      </c>
      <c r="S7" s="9">
        <f t="shared" si="13"/>
        <v>8</v>
      </c>
      <c r="U7" s="9">
        <f t="shared" ref="U7:V7" si="14">U8+R7</f>
        <v>25</v>
      </c>
      <c r="V7" s="9">
        <f t="shared" si="14"/>
        <v>8</v>
      </c>
      <c r="X7" s="9">
        <f t="shared" ref="X7:Y7" si="15">X8+U7</f>
        <v>26</v>
      </c>
      <c r="Y7" s="9">
        <f t="shared" si="15"/>
        <v>8</v>
      </c>
      <c r="AA7" s="9">
        <f t="shared" ref="AA7:AB7" si="16">AA8+X7</f>
        <v>27</v>
      </c>
      <c r="AB7" s="9">
        <f t="shared" si="16"/>
        <v>8</v>
      </c>
      <c r="AD7" s="9">
        <f t="shared" ref="AD7:AE7" si="17">AD8+AA7</f>
        <v>28</v>
      </c>
      <c r="AE7" s="9">
        <f t="shared" si="17"/>
        <v>8</v>
      </c>
      <c r="AG7" s="9">
        <f t="shared" ref="AG7:AH7" si="18">AG8+AD7</f>
        <v>33</v>
      </c>
      <c r="AH7" s="9">
        <f t="shared" si="18"/>
        <v>8</v>
      </c>
      <c r="AJ7" s="9">
        <f t="shared" ref="AJ7:AK7" si="19">AJ8+AG7</f>
        <v>38</v>
      </c>
      <c r="AK7" s="9">
        <f t="shared" si="19"/>
        <v>8</v>
      </c>
      <c r="AM7" s="9">
        <f t="shared" ref="AM7:AN7" si="20">AM8+AJ7</f>
        <v>38</v>
      </c>
      <c r="AN7" s="9">
        <f t="shared" si="20"/>
        <v>8</v>
      </c>
    </row>
    <row r="8" spans="1:41" x14ac:dyDescent="0.3">
      <c r="A8">
        <v>1</v>
      </c>
      <c r="B8" s="10" t="s">
        <v>37</v>
      </c>
      <c r="C8" s="11" t="s">
        <v>38</v>
      </c>
      <c r="D8" s="11"/>
      <c r="E8" s="11">
        <f>GANTT!$F$8</f>
        <v>122.5</v>
      </c>
      <c r="F8" s="11">
        <f>SUM(F9,F17)</f>
        <v>38</v>
      </c>
      <c r="G8" s="11">
        <f>SUM(G9,G17)</f>
        <v>8</v>
      </c>
      <c r="H8" s="12"/>
      <c r="I8" s="11">
        <f t="shared" ref="I8:J8" si="21">SUM(I9,I17)</f>
        <v>5</v>
      </c>
      <c r="J8" s="11">
        <f t="shared" si="21"/>
        <v>3</v>
      </c>
      <c r="K8" s="13"/>
      <c r="L8" s="11">
        <f t="shared" ref="L8:M8" si="22">SUM(L9,L17)</f>
        <v>5</v>
      </c>
      <c r="M8" s="11">
        <f t="shared" si="22"/>
        <v>5</v>
      </c>
      <c r="N8" s="13"/>
      <c r="O8" s="11">
        <f t="shared" ref="O8:P8" si="23">SUM(O9,O17)</f>
        <v>5</v>
      </c>
      <c r="P8" s="11">
        <f t="shared" si="23"/>
        <v>0</v>
      </c>
      <c r="Q8" s="13"/>
      <c r="R8" s="11">
        <f t="shared" ref="R8:S8" si="24">SUM(R9,R17)</f>
        <v>5</v>
      </c>
      <c r="S8" s="11">
        <f t="shared" si="24"/>
        <v>0</v>
      </c>
      <c r="T8" s="13"/>
      <c r="U8" s="11">
        <f t="shared" ref="U8:V8" si="25">SUM(U9,U17)</f>
        <v>5</v>
      </c>
      <c r="V8" s="11">
        <f t="shared" si="25"/>
        <v>0</v>
      </c>
      <c r="W8" s="13"/>
      <c r="X8" s="11">
        <f t="shared" ref="X8:Y8" si="26">SUM(X9,X17)</f>
        <v>1</v>
      </c>
      <c r="Y8" s="11">
        <f t="shared" si="26"/>
        <v>0</v>
      </c>
      <c r="Z8" s="13"/>
      <c r="AA8" s="11">
        <f t="shared" ref="AA8:AB8" si="27">SUM(AA9,AA17)</f>
        <v>1</v>
      </c>
      <c r="AB8" s="11">
        <f t="shared" si="27"/>
        <v>0</v>
      </c>
      <c r="AC8" s="13"/>
      <c r="AD8" s="11">
        <f t="shared" ref="AD8:AE8" si="28">SUM(AD9,AD17)</f>
        <v>1</v>
      </c>
      <c r="AE8" s="11">
        <f t="shared" si="28"/>
        <v>0</v>
      </c>
      <c r="AF8" s="13"/>
      <c r="AG8" s="11">
        <f t="shared" ref="AG8:AH8" si="29">SUM(AG9,AG17)</f>
        <v>5</v>
      </c>
      <c r="AH8" s="11">
        <f t="shared" si="29"/>
        <v>0</v>
      </c>
      <c r="AI8" s="13"/>
      <c r="AJ8" s="11">
        <f t="shared" ref="AJ8:AK8" si="30">SUM(AJ9,AJ17)</f>
        <v>5</v>
      </c>
      <c r="AK8" s="11">
        <f t="shared" si="30"/>
        <v>0</v>
      </c>
      <c r="AL8" s="13"/>
      <c r="AM8" s="11">
        <f t="shared" ref="AM8:AN8" si="31">SUM(AM9,AM17)</f>
        <v>0</v>
      </c>
      <c r="AN8" s="11">
        <f t="shared" si="31"/>
        <v>0</v>
      </c>
      <c r="AO8" s="13"/>
    </row>
    <row r="9" spans="1:41" x14ac:dyDescent="0.3">
      <c r="A9">
        <v>2</v>
      </c>
      <c r="B9" s="14" t="s">
        <v>13</v>
      </c>
      <c r="C9" s="37" t="s">
        <v>39</v>
      </c>
      <c r="D9" s="14"/>
      <c r="E9" s="40">
        <f>GANTT!$F$9</f>
        <v>80.5</v>
      </c>
      <c r="F9" s="16">
        <f>SUM(F10,F11,F12,F13,F14,F15,F16)</f>
        <v>26</v>
      </c>
      <c r="G9" s="16">
        <f>SUM(G10,G11,G12,G13,G14,G15,G16)</f>
        <v>8</v>
      </c>
      <c r="H9" s="17"/>
      <c r="I9" s="16">
        <f t="shared" ref="I9:J9" si="32">SUM(I10,I11,I12,I13,I14,I15,I16)</f>
        <v>5</v>
      </c>
      <c r="J9" s="16">
        <f t="shared" si="32"/>
        <v>3</v>
      </c>
      <c r="K9" s="18"/>
      <c r="L9" s="16">
        <f t="shared" ref="L9:M9" si="33">SUM(L10,L11,L12,L13,L14,L15,L16)</f>
        <v>5</v>
      </c>
      <c r="M9" s="16">
        <f t="shared" si="33"/>
        <v>5</v>
      </c>
      <c r="N9" s="18"/>
      <c r="O9" s="16">
        <f t="shared" ref="O9:P9" si="34">SUM(O10,O11,O12,O13,O14,O15,O16)</f>
        <v>1</v>
      </c>
      <c r="P9" s="16">
        <f t="shared" si="34"/>
        <v>0</v>
      </c>
      <c r="Q9" s="18"/>
      <c r="R9" s="16">
        <f t="shared" ref="R9:S9" si="35">SUM(R10,R11,R12,R13,R14,R15,R16)</f>
        <v>1</v>
      </c>
      <c r="S9" s="16">
        <f t="shared" si="35"/>
        <v>0</v>
      </c>
      <c r="T9" s="18"/>
      <c r="U9" s="16">
        <f t="shared" ref="U9:V9" si="36">SUM(U10,U11,U12,U13,U14,U15,U16)</f>
        <v>1</v>
      </c>
      <c r="V9" s="16">
        <f t="shared" si="36"/>
        <v>0</v>
      </c>
      <c r="W9" s="18"/>
      <c r="X9" s="16">
        <f t="shared" ref="X9:Y9" si="37">SUM(X10,X11,X12,X13,X14,X15,X16)</f>
        <v>1</v>
      </c>
      <c r="Y9" s="16">
        <f t="shared" si="37"/>
        <v>0</v>
      </c>
      <c r="Z9" s="18"/>
      <c r="AA9" s="16">
        <f t="shared" ref="AA9:AB9" si="38">SUM(AA10,AA11,AA12,AA13,AA14,AA15,AA16)</f>
        <v>1</v>
      </c>
      <c r="AB9" s="16">
        <f t="shared" si="38"/>
        <v>0</v>
      </c>
      <c r="AC9" s="18"/>
      <c r="AD9" s="16">
        <f t="shared" ref="AD9:AE9" si="39">SUM(AD10,AD11,AD12,AD13,AD14,AD15,AD16)</f>
        <v>1</v>
      </c>
      <c r="AE9" s="16">
        <f t="shared" si="39"/>
        <v>0</v>
      </c>
      <c r="AF9" s="18"/>
      <c r="AG9" s="16">
        <f t="shared" ref="AG9:AH9" si="40">SUM(AG10,AG11,AG12,AG13,AG14,AG15,AG16)</f>
        <v>5</v>
      </c>
      <c r="AH9" s="16">
        <f t="shared" si="40"/>
        <v>0</v>
      </c>
      <c r="AI9" s="18"/>
      <c r="AJ9" s="16">
        <f t="shared" ref="AJ9:AK9" si="41">SUM(AJ10,AJ11,AJ12,AJ13,AJ14,AJ15,AJ16)</f>
        <v>5</v>
      </c>
      <c r="AK9" s="16">
        <f t="shared" si="41"/>
        <v>0</v>
      </c>
      <c r="AL9" s="18"/>
      <c r="AM9" s="16">
        <f t="shared" ref="AM9:AN9" si="42">SUM(AM10,AM11,AM12,AM13,AM14,AM15,AM16)</f>
        <v>0</v>
      </c>
      <c r="AN9" s="16">
        <f t="shared" si="42"/>
        <v>0</v>
      </c>
      <c r="AO9" s="18"/>
    </row>
    <row r="10" spans="1:41" x14ac:dyDescent="0.3">
      <c r="A10">
        <v>3</v>
      </c>
      <c r="B10" s="19" t="s">
        <v>15</v>
      </c>
      <c r="C10" s="36" t="s">
        <v>40</v>
      </c>
      <c r="D10" s="19"/>
      <c r="E10" s="42">
        <f>GANTT!$F$10</f>
        <v>24</v>
      </c>
      <c r="F10" s="21">
        <f>SUMPRODUCT(I5:$AO$5, $I$10:$AO$10)</f>
        <v>8</v>
      </c>
      <c r="G10" s="21">
        <f>SUMPRODUCT(I6:$AO$6, $I$10:$AO$10)</f>
        <v>8</v>
      </c>
      <c r="H10" s="22"/>
      <c r="I10" s="21">
        <v>4</v>
      </c>
      <c r="J10" s="21">
        <v>3</v>
      </c>
      <c r="K10" s="23"/>
      <c r="L10" s="21">
        <v>4</v>
      </c>
      <c r="M10" s="21">
        <v>5</v>
      </c>
      <c r="N10" s="23"/>
      <c r="O10" s="21"/>
      <c r="P10" s="21"/>
      <c r="Q10" s="23"/>
      <c r="R10" s="21"/>
      <c r="S10" s="21"/>
      <c r="T10" s="23"/>
      <c r="U10" s="21"/>
      <c r="V10" s="21"/>
      <c r="W10" s="23"/>
      <c r="X10" s="21"/>
      <c r="Y10" s="21"/>
      <c r="Z10" s="23"/>
      <c r="AA10" s="21"/>
      <c r="AB10" s="21"/>
      <c r="AC10" s="23"/>
      <c r="AD10" s="21"/>
      <c r="AE10" s="21"/>
      <c r="AF10" s="23"/>
      <c r="AG10" s="21"/>
      <c r="AH10" s="21"/>
      <c r="AI10" s="23"/>
      <c r="AJ10" s="21"/>
      <c r="AK10" s="21"/>
      <c r="AL10" s="23"/>
      <c r="AM10" s="21"/>
      <c r="AN10" s="21"/>
      <c r="AO10" s="23"/>
    </row>
    <row r="11" spans="1:41" x14ac:dyDescent="0.3">
      <c r="A11">
        <v>3</v>
      </c>
      <c r="B11" s="19" t="s">
        <v>17</v>
      </c>
      <c r="C11" s="36" t="s">
        <v>41</v>
      </c>
      <c r="D11" s="19"/>
      <c r="E11" s="42">
        <f>GANTT!$F$11</f>
        <v>0</v>
      </c>
      <c r="F11" s="21">
        <f>SUMPRODUCT(I5:$AO$5, $I$11:$AO$11)</f>
        <v>0</v>
      </c>
      <c r="G11" s="21">
        <f>SUMPRODUCT(I6:$AO$6, $I$11:$AO$11)</f>
        <v>0</v>
      </c>
      <c r="H11" s="22"/>
      <c r="I11" s="21"/>
      <c r="J11" s="21"/>
      <c r="K11" s="23"/>
      <c r="L11" s="21"/>
      <c r="M11" s="21"/>
      <c r="N11" s="23"/>
      <c r="O11" s="21"/>
      <c r="P11" s="21"/>
      <c r="Q11" s="23"/>
      <c r="R11" s="21"/>
      <c r="S11" s="21"/>
      <c r="T11" s="23"/>
      <c r="U11" s="21"/>
      <c r="V11" s="21"/>
      <c r="W11" s="23"/>
      <c r="X11" s="21"/>
      <c r="Y11" s="21"/>
      <c r="Z11" s="23"/>
      <c r="AA11" s="21"/>
      <c r="AB11" s="21"/>
      <c r="AC11" s="23"/>
      <c r="AD11" s="21"/>
      <c r="AE11" s="21"/>
      <c r="AF11" s="23"/>
      <c r="AG11" s="21"/>
      <c r="AH11" s="21"/>
      <c r="AI11" s="23"/>
      <c r="AJ11" s="21"/>
      <c r="AK11" s="21"/>
      <c r="AL11" s="23"/>
      <c r="AM11" s="21"/>
      <c r="AN11" s="21"/>
      <c r="AO11" s="23"/>
    </row>
    <row r="12" spans="1:41" x14ac:dyDescent="0.3">
      <c r="A12">
        <v>3</v>
      </c>
      <c r="B12" s="19" t="s">
        <v>19</v>
      </c>
      <c r="C12" s="36" t="s">
        <v>42</v>
      </c>
      <c r="D12" s="19"/>
      <c r="E12" s="42">
        <f>GANTT!$F$12</f>
        <v>7.5</v>
      </c>
      <c r="F12" s="21">
        <f>SUMPRODUCT(I5:$AO$5, $I$12:$AO$12)</f>
        <v>2.5</v>
      </c>
      <c r="G12" s="21">
        <f>SUMPRODUCT(I6:$AO$6, $I$12:$AO$12)</f>
        <v>0</v>
      </c>
      <c r="H12" s="22"/>
      <c r="I12" s="21">
        <v>0.25</v>
      </c>
      <c r="J12" s="21"/>
      <c r="K12" s="23"/>
      <c r="L12" s="21">
        <v>0.25</v>
      </c>
      <c r="M12" s="21"/>
      <c r="N12" s="23"/>
      <c r="O12" s="21">
        <v>0.25</v>
      </c>
      <c r="P12" s="21"/>
      <c r="Q12" s="23"/>
      <c r="R12" s="21">
        <v>0.25</v>
      </c>
      <c r="S12" s="21"/>
      <c r="T12" s="23"/>
      <c r="U12" s="21">
        <v>0.25</v>
      </c>
      <c r="V12" s="21"/>
      <c r="W12" s="23"/>
      <c r="X12" s="21">
        <v>0.25</v>
      </c>
      <c r="Y12" s="21"/>
      <c r="Z12" s="23"/>
      <c r="AA12" s="21">
        <v>0.25</v>
      </c>
      <c r="AB12" s="21"/>
      <c r="AC12" s="23"/>
      <c r="AD12" s="21">
        <v>0.25</v>
      </c>
      <c r="AE12" s="21"/>
      <c r="AF12" s="23"/>
      <c r="AG12" s="21">
        <v>0.25</v>
      </c>
      <c r="AH12" s="21"/>
      <c r="AI12" s="23"/>
      <c r="AJ12" s="21">
        <v>0.25</v>
      </c>
      <c r="AK12" s="21"/>
      <c r="AL12" s="23"/>
      <c r="AM12" s="21"/>
      <c r="AN12" s="21"/>
      <c r="AO12" s="23"/>
    </row>
    <row r="13" spans="1:41" x14ac:dyDescent="0.3">
      <c r="A13">
        <v>3</v>
      </c>
      <c r="B13" s="19" t="s">
        <v>43</v>
      </c>
      <c r="C13" s="36" t="s">
        <v>44</v>
      </c>
      <c r="D13" s="19"/>
      <c r="E13" s="42">
        <f>GANTT!$F$13</f>
        <v>15</v>
      </c>
      <c r="F13" s="21">
        <f>SUMPRODUCT(I5:$AO$5, $I$13:$AO$13)</f>
        <v>5</v>
      </c>
      <c r="G13" s="21">
        <f>SUMPRODUCT(I6:$AO$6, $I$13:$AO$13)</f>
        <v>0</v>
      </c>
      <c r="H13" s="22"/>
      <c r="I13" s="21">
        <v>0.5</v>
      </c>
      <c r="J13" s="21"/>
      <c r="K13" s="23"/>
      <c r="L13" s="21">
        <v>0.5</v>
      </c>
      <c r="M13" s="21"/>
      <c r="N13" s="23"/>
      <c r="O13" s="21">
        <v>0.5</v>
      </c>
      <c r="P13" s="21"/>
      <c r="Q13" s="23"/>
      <c r="R13" s="21">
        <v>0.5</v>
      </c>
      <c r="S13" s="21"/>
      <c r="T13" s="23"/>
      <c r="U13" s="21">
        <v>0.5</v>
      </c>
      <c r="V13" s="21"/>
      <c r="W13" s="23"/>
      <c r="X13" s="21">
        <v>0.5</v>
      </c>
      <c r="Y13" s="21"/>
      <c r="Z13" s="23"/>
      <c r="AA13" s="21">
        <v>0.5</v>
      </c>
      <c r="AB13" s="21"/>
      <c r="AC13" s="23"/>
      <c r="AD13" s="21">
        <v>0.5</v>
      </c>
      <c r="AE13" s="21"/>
      <c r="AF13" s="23"/>
      <c r="AG13" s="21">
        <v>0.5</v>
      </c>
      <c r="AH13" s="21"/>
      <c r="AI13" s="23"/>
      <c r="AJ13" s="21">
        <v>0.5</v>
      </c>
      <c r="AK13" s="21"/>
      <c r="AL13" s="23"/>
      <c r="AM13" s="21"/>
      <c r="AN13" s="21"/>
      <c r="AO13" s="23"/>
    </row>
    <row r="14" spans="1:41" x14ac:dyDescent="0.3">
      <c r="A14">
        <v>3</v>
      </c>
      <c r="B14" s="19" t="s">
        <v>45</v>
      </c>
      <c r="C14" s="36" t="s">
        <v>46</v>
      </c>
      <c r="D14" s="19"/>
      <c r="E14" s="42">
        <f>GANTT!$F$14</f>
        <v>10</v>
      </c>
      <c r="F14" s="21">
        <f>SUMPRODUCT(I5:$AO$5, $I$14:$AO$14)</f>
        <v>2.5</v>
      </c>
      <c r="G14" s="21">
        <f>SUMPRODUCT(I6:$AO$6, $I$14:$AO$14)</f>
        <v>0</v>
      </c>
      <c r="H14" s="22"/>
      <c r="I14" s="21">
        <v>0.25</v>
      </c>
      <c r="J14" s="21"/>
      <c r="K14" s="23"/>
      <c r="L14" s="21">
        <v>0.25</v>
      </c>
      <c r="M14" s="21"/>
      <c r="N14" s="23"/>
      <c r="O14" s="21">
        <v>0.25</v>
      </c>
      <c r="P14" s="21"/>
      <c r="Q14" s="23"/>
      <c r="R14" s="21">
        <v>0.25</v>
      </c>
      <c r="S14" s="21"/>
      <c r="T14" s="23"/>
      <c r="U14" s="21">
        <v>0.25</v>
      </c>
      <c r="V14" s="21"/>
      <c r="W14" s="23"/>
      <c r="X14" s="21">
        <v>0.25</v>
      </c>
      <c r="Y14" s="21"/>
      <c r="Z14" s="23"/>
      <c r="AA14" s="21">
        <v>0.25</v>
      </c>
      <c r="AB14" s="21"/>
      <c r="AC14" s="23"/>
      <c r="AD14" s="21">
        <v>0.25</v>
      </c>
      <c r="AE14" s="21"/>
      <c r="AF14" s="23"/>
      <c r="AG14" s="21">
        <v>0.25</v>
      </c>
      <c r="AH14" s="21"/>
      <c r="AI14" s="23"/>
      <c r="AJ14" s="21">
        <v>0.25</v>
      </c>
      <c r="AK14" s="21"/>
      <c r="AL14" s="23"/>
      <c r="AM14" s="21"/>
      <c r="AN14" s="21"/>
      <c r="AO14" s="23"/>
    </row>
    <row r="15" spans="1:41" x14ac:dyDescent="0.3">
      <c r="A15">
        <v>3</v>
      </c>
      <c r="B15" s="19" t="s">
        <v>47</v>
      </c>
      <c r="C15" s="36" t="s">
        <v>48</v>
      </c>
      <c r="D15" s="19"/>
      <c r="E15" s="42">
        <f>GANTT!$F$15</f>
        <v>24</v>
      </c>
      <c r="F15" s="21">
        <f>SUMPRODUCT(I5:$AO$5, $I$15:$AO$15)</f>
        <v>8</v>
      </c>
      <c r="G15" s="21">
        <f>SUMPRODUCT(I6:$AO$6, $I$15:$AO$15)</f>
        <v>0</v>
      </c>
      <c r="H15" s="22"/>
      <c r="I15" s="21"/>
      <c r="J15" s="21"/>
      <c r="K15" s="23"/>
      <c r="L15" s="21"/>
      <c r="M15" s="21"/>
      <c r="N15" s="23"/>
      <c r="O15" s="21"/>
      <c r="P15" s="21"/>
      <c r="Q15" s="23"/>
      <c r="R15" s="21"/>
      <c r="S15" s="21"/>
      <c r="T15" s="23"/>
      <c r="U15" s="21"/>
      <c r="V15" s="21"/>
      <c r="W15" s="23"/>
      <c r="X15" s="21"/>
      <c r="Y15" s="21"/>
      <c r="Z15" s="23"/>
      <c r="AA15" s="21"/>
      <c r="AB15" s="21"/>
      <c r="AC15" s="23"/>
      <c r="AD15" s="21"/>
      <c r="AE15" s="21"/>
      <c r="AF15" s="23"/>
      <c r="AG15" s="21">
        <v>4</v>
      </c>
      <c r="AH15" s="21"/>
      <c r="AI15" s="23"/>
      <c r="AJ15" s="21">
        <v>4</v>
      </c>
      <c r="AK15" s="21"/>
      <c r="AL15" s="23"/>
      <c r="AM15" s="21"/>
      <c r="AN15" s="21"/>
      <c r="AO15" s="23"/>
    </row>
    <row r="16" spans="1:41" x14ac:dyDescent="0.3">
      <c r="A16">
        <v>3</v>
      </c>
      <c r="B16" s="19" t="s">
        <v>49</v>
      </c>
      <c r="C16" s="36" t="s">
        <v>50</v>
      </c>
      <c r="D16" s="19"/>
      <c r="E16" s="42">
        <f>GANTT!$F$16</f>
        <v>0</v>
      </c>
      <c r="F16" s="21">
        <f>SUMPRODUCT(I5:$AO$5, $I$16:$AO$16)</f>
        <v>0</v>
      </c>
      <c r="G16" s="21">
        <f>SUMPRODUCT(I6:$AO$6, $I$16:$AO$16)</f>
        <v>0</v>
      </c>
      <c r="H16" s="22"/>
      <c r="I16" s="21"/>
      <c r="J16" s="21"/>
      <c r="K16" s="23"/>
      <c r="L16" s="21"/>
      <c r="M16" s="21"/>
      <c r="N16" s="23"/>
      <c r="O16" s="21"/>
      <c r="P16" s="21"/>
      <c r="Q16" s="23"/>
      <c r="R16" s="21"/>
      <c r="S16" s="21"/>
      <c r="T16" s="23"/>
      <c r="U16" s="21"/>
      <c r="V16" s="21"/>
      <c r="W16" s="23"/>
      <c r="X16" s="21"/>
      <c r="Y16" s="21"/>
      <c r="Z16" s="23"/>
      <c r="AA16" s="21"/>
      <c r="AB16" s="21"/>
      <c r="AC16" s="23"/>
      <c r="AD16" s="21"/>
      <c r="AE16" s="21"/>
      <c r="AF16" s="23"/>
      <c r="AG16" s="21"/>
      <c r="AH16" s="21"/>
      <c r="AI16" s="23"/>
      <c r="AJ16" s="21"/>
      <c r="AK16" s="21"/>
      <c r="AL16" s="23"/>
      <c r="AM16" s="21"/>
      <c r="AN16" s="21"/>
      <c r="AO16" s="23"/>
    </row>
    <row r="17" spans="1:41" x14ac:dyDescent="0.3">
      <c r="A17">
        <v>2</v>
      </c>
      <c r="B17" s="14" t="s">
        <v>51</v>
      </c>
      <c r="C17" s="37" t="s">
        <v>52</v>
      </c>
      <c r="D17" s="14"/>
      <c r="E17" s="40">
        <f>GANTT!$F$17</f>
        <v>42</v>
      </c>
      <c r="F17" s="16">
        <f>SUM(F18,F19,F20,F21)</f>
        <v>12</v>
      </c>
      <c r="G17" s="16">
        <f>SUM(G18,G19,G20,G21)</f>
        <v>0</v>
      </c>
      <c r="H17" s="17"/>
      <c r="I17" s="16">
        <f t="shared" ref="I17:J17" si="43">SUM(I18,I19,I20,I21)</f>
        <v>0</v>
      </c>
      <c r="J17" s="16">
        <f t="shared" si="43"/>
        <v>0</v>
      </c>
      <c r="K17" s="18"/>
      <c r="L17" s="16">
        <f t="shared" ref="L17:M17" si="44">SUM(L18,L19,L20,L21)</f>
        <v>0</v>
      </c>
      <c r="M17" s="16">
        <f t="shared" si="44"/>
        <v>0</v>
      </c>
      <c r="N17" s="18"/>
      <c r="O17" s="16">
        <f t="shared" ref="O17:P17" si="45">SUM(O18,O19,O20,O21)</f>
        <v>4</v>
      </c>
      <c r="P17" s="16">
        <f t="shared" si="45"/>
        <v>0</v>
      </c>
      <c r="Q17" s="18"/>
      <c r="R17" s="16">
        <f t="shared" ref="R17:S17" si="46">SUM(R18,R19,R20,R21)</f>
        <v>4</v>
      </c>
      <c r="S17" s="16">
        <f t="shared" si="46"/>
        <v>0</v>
      </c>
      <c r="T17" s="18"/>
      <c r="U17" s="16">
        <f t="shared" ref="U17:V17" si="47">SUM(U18,U19,U20,U21)</f>
        <v>4</v>
      </c>
      <c r="V17" s="16">
        <f t="shared" si="47"/>
        <v>0</v>
      </c>
      <c r="W17" s="18"/>
      <c r="X17" s="16">
        <f t="shared" ref="X17:Y17" si="48">SUM(X18,X19,X20,X21)</f>
        <v>0</v>
      </c>
      <c r="Y17" s="16">
        <f t="shared" si="48"/>
        <v>0</v>
      </c>
      <c r="Z17" s="18"/>
      <c r="AA17" s="16">
        <f t="shared" ref="AA17:AB17" si="49">SUM(AA18,AA19,AA20,AA21)</f>
        <v>0</v>
      </c>
      <c r="AB17" s="16">
        <f t="shared" si="49"/>
        <v>0</v>
      </c>
      <c r="AC17" s="18"/>
      <c r="AD17" s="16">
        <f t="shared" ref="AD17:AE17" si="50">SUM(AD18,AD19,AD20,AD21)</f>
        <v>0</v>
      </c>
      <c r="AE17" s="16">
        <f t="shared" si="50"/>
        <v>0</v>
      </c>
      <c r="AF17" s="18"/>
      <c r="AG17" s="16">
        <f t="shared" ref="AG17:AH17" si="51">SUM(AG18,AG19,AG20,AG21)</f>
        <v>0</v>
      </c>
      <c r="AH17" s="16">
        <f t="shared" si="51"/>
        <v>0</v>
      </c>
      <c r="AI17" s="18"/>
      <c r="AJ17" s="16">
        <f t="shared" ref="AJ17:AK17" si="52">SUM(AJ18,AJ19,AJ20,AJ21)</f>
        <v>0</v>
      </c>
      <c r="AK17" s="16">
        <f t="shared" si="52"/>
        <v>0</v>
      </c>
      <c r="AL17" s="18"/>
      <c r="AM17" s="16">
        <f t="shared" ref="AM17:AN17" si="53">SUM(AM18,AM19,AM20,AM21)</f>
        <v>0</v>
      </c>
      <c r="AN17" s="16">
        <f t="shared" si="53"/>
        <v>0</v>
      </c>
      <c r="AO17" s="18"/>
    </row>
    <row r="18" spans="1:41" x14ac:dyDescent="0.3">
      <c r="A18">
        <v>3</v>
      </c>
      <c r="B18" s="19" t="s">
        <v>53</v>
      </c>
      <c r="C18" s="36" t="s">
        <v>54</v>
      </c>
      <c r="D18" s="19"/>
      <c r="E18" s="42">
        <f>GANTT!$F$18</f>
        <v>12</v>
      </c>
      <c r="F18" s="21">
        <f>SUMPRODUCT(I5:$AO$5, $I$18:$AO$18)</f>
        <v>12</v>
      </c>
      <c r="G18" s="21">
        <f>SUMPRODUCT(I6:$AO$6, $I$18:$AO$18)</f>
        <v>0</v>
      </c>
      <c r="H18" s="22"/>
      <c r="I18" s="21"/>
      <c r="J18" s="21"/>
      <c r="K18" s="23"/>
      <c r="L18" s="21"/>
      <c r="M18" s="21"/>
      <c r="N18" s="23"/>
      <c r="O18" s="21">
        <v>4</v>
      </c>
      <c r="P18" s="21"/>
      <c r="Q18" s="23"/>
      <c r="R18" s="21">
        <v>4</v>
      </c>
      <c r="S18" s="21"/>
      <c r="T18" s="23"/>
      <c r="U18" s="21">
        <v>4</v>
      </c>
      <c r="V18" s="21"/>
      <c r="W18" s="23"/>
      <c r="X18" s="21"/>
      <c r="Y18" s="21"/>
      <c r="Z18" s="23"/>
      <c r="AA18" s="21"/>
      <c r="AB18" s="21"/>
      <c r="AC18" s="23"/>
      <c r="AD18" s="21"/>
      <c r="AE18" s="21"/>
      <c r="AF18" s="23"/>
      <c r="AG18" s="21"/>
      <c r="AH18" s="21"/>
      <c r="AI18" s="23"/>
      <c r="AJ18" s="21"/>
      <c r="AK18" s="21"/>
      <c r="AL18" s="23"/>
      <c r="AM18" s="21"/>
      <c r="AN18" s="21"/>
      <c r="AO18" s="23"/>
    </row>
    <row r="19" spans="1:41" x14ac:dyDescent="0.3">
      <c r="A19">
        <v>3</v>
      </c>
      <c r="B19" s="19" t="s">
        <v>55</v>
      </c>
      <c r="C19" s="36" t="s">
        <v>56</v>
      </c>
      <c r="D19" s="19"/>
      <c r="E19" s="42">
        <f>GANTT!$F$19</f>
        <v>6</v>
      </c>
      <c r="F19" s="21">
        <f>SUMPRODUCT(I5:$AO$5, $I$19:$AO$19)</f>
        <v>0</v>
      </c>
      <c r="G19" s="21">
        <f>SUMPRODUCT(I6:$AO$6, $I$19:$AO$19)</f>
        <v>0</v>
      </c>
      <c r="H19" s="22"/>
      <c r="I19" s="21"/>
      <c r="J19" s="21"/>
      <c r="K19" s="23"/>
      <c r="L19" s="21"/>
      <c r="M19" s="21"/>
      <c r="N19" s="23"/>
      <c r="O19" s="21"/>
      <c r="P19" s="21"/>
      <c r="Q19" s="23"/>
      <c r="R19" s="21"/>
      <c r="S19" s="21"/>
      <c r="T19" s="23"/>
      <c r="U19" s="21"/>
      <c r="V19" s="21"/>
      <c r="W19" s="23"/>
      <c r="X19" s="21"/>
      <c r="Y19" s="21"/>
      <c r="Z19" s="23"/>
      <c r="AA19" s="21"/>
      <c r="AB19" s="21"/>
      <c r="AC19" s="23"/>
      <c r="AD19" s="21"/>
      <c r="AE19" s="21"/>
      <c r="AF19" s="23"/>
      <c r="AG19" s="21"/>
      <c r="AH19" s="21"/>
      <c r="AI19" s="23"/>
      <c r="AJ19" s="21"/>
      <c r="AK19" s="21"/>
      <c r="AL19" s="23"/>
      <c r="AM19" s="21"/>
      <c r="AN19" s="21"/>
      <c r="AO19" s="23"/>
    </row>
    <row r="20" spans="1:41" x14ac:dyDescent="0.3">
      <c r="A20">
        <v>3</v>
      </c>
      <c r="B20" s="19" t="s">
        <v>57</v>
      </c>
      <c r="C20" s="36" t="s">
        <v>58</v>
      </c>
      <c r="D20" s="19"/>
      <c r="E20" s="42">
        <f>GANTT!$F$20</f>
        <v>24</v>
      </c>
      <c r="F20" s="21">
        <f>SUMPRODUCT(I5:$AO$5, $I$20:$AO$20)</f>
        <v>0</v>
      </c>
      <c r="G20" s="21">
        <f>SUMPRODUCT(I6:$AO$6, $I$20:$AO$20)</f>
        <v>0</v>
      </c>
      <c r="H20" s="22"/>
      <c r="I20" s="21"/>
      <c r="J20" s="21"/>
      <c r="K20" s="23"/>
      <c r="L20" s="21"/>
      <c r="M20" s="21"/>
      <c r="N20" s="23"/>
      <c r="O20" s="21"/>
      <c r="P20" s="21"/>
      <c r="Q20" s="23"/>
      <c r="R20" s="21"/>
      <c r="S20" s="21"/>
      <c r="T20" s="23"/>
      <c r="U20" s="21"/>
      <c r="V20" s="21"/>
      <c r="W20" s="23"/>
      <c r="X20" s="21"/>
      <c r="Y20" s="21"/>
      <c r="Z20" s="23"/>
      <c r="AA20" s="21"/>
      <c r="AB20" s="21"/>
      <c r="AC20" s="23"/>
      <c r="AD20" s="21"/>
      <c r="AE20" s="21"/>
      <c r="AF20" s="23"/>
      <c r="AG20" s="21"/>
      <c r="AH20" s="21"/>
      <c r="AI20" s="23"/>
      <c r="AJ20" s="21"/>
      <c r="AK20" s="21"/>
      <c r="AL20" s="23"/>
      <c r="AM20" s="21"/>
      <c r="AN20" s="21"/>
      <c r="AO20" s="23"/>
    </row>
    <row r="21" spans="1:41" x14ac:dyDescent="0.3">
      <c r="A21">
        <v>3</v>
      </c>
      <c r="B21" s="19" t="s">
        <v>59</v>
      </c>
      <c r="C21" s="36" t="s">
        <v>60</v>
      </c>
      <c r="D21" s="19"/>
      <c r="E21" s="42">
        <f>GANTT!$F$21</f>
        <v>0</v>
      </c>
      <c r="F21" s="21">
        <f>SUMPRODUCT(I5:$AO$5, $I$21:$AO$21)</f>
        <v>0</v>
      </c>
      <c r="G21" s="21">
        <f>SUMPRODUCT(I6:$AO$6, $I$21:$AO$21)</f>
        <v>0</v>
      </c>
      <c r="H21" s="22"/>
      <c r="I21" s="21"/>
      <c r="J21" s="21"/>
      <c r="K21" s="23"/>
      <c r="L21" s="21"/>
      <c r="M21" s="21"/>
      <c r="N21" s="23"/>
      <c r="O21" s="21"/>
      <c r="P21" s="21"/>
      <c r="Q21" s="23"/>
      <c r="R21" s="21"/>
      <c r="S21" s="21"/>
      <c r="T21" s="23"/>
      <c r="U21" s="21"/>
      <c r="V21" s="21"/>
      <c r="W21" s="23"/>
      <c r="X21" s="21"/>
      <c r="Y21" s="21"/>
      <c r="Z21" s="23"/>
      <c r="AA21" s="21"/>
      <c r="AB21" s="21"/>
      <c r="AC21" s="23"/>
      <c r="AD21" s="21"/>
      <c r="AE21" s="21"/>
      <c r="AF21" s="23"/>
      <c r="AG21" s="21"/>
      <c r="AH21" s="21"/>
      <c r="AI21" s="23"/>
      <c r="AJ21" s="21"/>
      <c r="AK21" s="21"/>
      <c r="AL21" s="23"/>
      <c r="AM21" s="21"/>
      <c r="AN21" s="21"/>
      <c r="AO21" s="23"/>
    </row>
    <row r="22" spans="1:41" x14ac:dyDescent="0.3">
      <c r="E22">
        <f>GANTT!$F$22</f>
        <v>0</v>
      </c>
    </row>
  </sheetData>
  <mergeCells count="23">
    <mergeCell ref="AJ2:AL2"/>
    <mergeCell ref="AM2:AO2"/>
    <mergeCell ref="F2:H2"/>
    <mergeCell ref="I2:K2"/>
    <mergeCell ref="L2:N2"/>
    <mergeCell ref="O2:Q2"/>
    <mergeCell ref="R2:T2"/>
    <mergeCell ref="U2:W2"/>
    <mergeCell ref="X3:Z3"/>
    <mergeCell ref="X2:Z2"/>
    <mergeCell ref="AA2:AC2"/>
    <mergeCell ref="AD2:AF2"/>
    <mergeCell ref="AG2:AI2"/>
    <mergeCell ref="I3:K3"/>
    <mergeCell ref="L3:N3"/>
    <mergeCell ref="O3:Q3"/>
    <mergeCell ref="R3:T3"/>
    <mergeCell ref="U3:W3"/>
    <mergeCell ref="AA3:AC3"/>
    <mergeCell ref="AD3:AF3"/>
    <mergeCell ref="AG3:AI3"/>
    <mergeCell ref="AJ3:AL3"/>
    <mergeCell ref="AM3:AO3"/>
  </mergeCells>
  <conditionalFormatting sqref="I2:N3">
    <cfRule type="expression" dxfId="87" priority="19">
      <formula>AND(YEAR(TODAY()) = YEAR(I$3-1),WEEKNUM(TODAY()) = WEEKNUM(I$3-1))</formula>
    </cfRule>
  </conditionalFormatting>
  <conditionalFormatting sqref="B10:C16 B18:C21">
    <cfRule type="expression" dxfId="86" priority="18">
      <formula>$E10=0</formula>
    </cfRule>
  </conditionalFormatting>
  <conditionalFormatting sqref="F10:H16 F18:H21">
    <cfRule type="expression" dxfId="85" priority="17">
      <formula>F10 = 0</formula>
    </cfRule>
  </conditionalFormatting>
  <conditionalFormatting sqref="K10:K16 N10:N16 N18:N21 K18:K21">
    <cfRule type="expression" dxfId="84" priority="13">
      <formula>(K10=H10)</formula>
    </cfRule>
  </conditionalFormatting>
  <conditionalFormatting sqref="I10:N16 I18:N21">
    <cfRule type="expression" dxfId="83" priority="14">
      <formula>AND(INDEX($I10:K10,FLOOR((COLUMN(I6)-COLUMN($I6)) / 3,1)*3+1) &gt; 0,$A11 &gt; $A10)</formula>
    </cfRule>
    <cfRule type="expression" dxfId="82" priority="15">
      <formula>INDEX($I10:K10,FLOOR((COLUMN(I6)-COLUMN($I6)) / 3,1)*3+1) &gt; 0</formula>
    </cfRule>
    <cfRule type="expression" dxfId="81" priority="16">
      <formula>I10 = 0</formula>
    </cfRule>
  </conditionalFormatting>
  <conditionalFormatting sqref="B17:C17 B9:C9">
    <cfRule type="expression" dxfId="80" priority="12">
      <formula>$E9=0</formula>
    </cfRule>
  </conditionalFormatting>
  <conditionalFormatting sqref="F17:H17 F9:H9">
    <cfRule type="expression" dxfId="79" priority="11">
      <formula>F9 = 0</formula>
    </cfRule>
  </conditionalFormatting>
  <conditionalFormatting sqref="K17 N17 K9 N9">
    <cfRule type="expression" dxfId="78" priority="7">
      <formula>(K9=H9)</formula>
    </cfRule>
  </conditionalFormatting>
  <conditionalFormatting sqref="I17:AO17 I9:AO9">
    <cfRule type="expression" dxfId="77" priority="8">
      <formula>AND(INDEX($I9:K9,FLOOR((COLUMN(I5)-COLUMN($I5)) / 3,1)*3+1) &gt; 0,$A10 &gt; $A9)</formula>
    </cfRule>
    <cfRule type="expression" dxfId="76" priority="9">
      <formula>INDEX($I9:K9,FLOOR((COLUMN(I5)-COLUMN($I5)) / 3,1)*3+1) &gt; 0</formula>
    </cfRule>
    <cfRule type="expression" dxfId="75" priority="10">
      <formula>I9 = 0</formula>
    </cfRule>
  </conditionalFormatting>
  <conditionalFormatting sqref="O2:AO3">
    <cfRule type="expression" dxfId="74" priority="6">
      <formula>AND(YEAR(TODAY()) = YEAR(O$3-1),WEEKNUM(TODAY()) = WEEKNUM(O$3-1))</formula>
    </cfRule>
  </conditionalFormatting>
  <conditionalFormatting sqref="Q10:Q16 T10:T16 W10:W16 Z10:Z16 AC10:AC16 AF10:AF16 AI10:AI16 AL10:AL16 AO10:AO16 Q18:Q21 T18:T21 W18:W21 Z18:Z21 AC18:AC21 AF18:AF21 AI18:AI21 AL18:AL21 AO18:AO21">
    <cfRule type="expression" dxfId="73" priority="2">
      <formula>(Q10=N10)</formula>
    </cfRule>
  </conditionalFormatting>
  <conditionalFormatting sqref="O10:AO16 O18:AO21">
    <cfRule type="expression" dxfId="72" priority="3">
      <formula>AND(INDEX($I10:Q10,FLOOR((COLUMN(O6)-COLUMN($I6)) / 3,1)*3+1) &gt; 0,$A11 &gt; $A10)</formula>
    </cfRule>
    <cfRule type="expression" dxfId="71" priority="4">
      <formula>INDEX($I10:Q10,FLOOR((COLUMN(O6)-COLUMN($I6)) / 3,1)*3+1) &gt; 0</formula>
    </cfRule>
    <cfRule type="expression" dxfId="70" priority="5">
      <formula>O10 = 0</formula>
    </cfRule>
  </conditionalFormatting>
  <conditionalFormatting sqref="Q17 T17 W17 Z17 AC17 AF17 AI17 AL17 AO17 Q9 T9 W9 Z9 AC9 AF9 AI9 AL9 AO9">
    <cfRule type="expression" dxfId="69" priority="1">
      <formula>(Q9=N9)</formula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55205-F150-4778-993A-1FAEBDDFD948}">
  <dimension ref="A1:AO22"/>
  <sheetViews>
    <sheetView tabSelected="1" topLeftCell="B1" workbookViewId="0">
      <selection activeCell="M16" sqref="M16"/>
    </sheetView>
  </sheetViews>
  <sheetFormatPr defaultColWidth="11.5546875" defaultRowHeight="14.4" x14ac:dyDescent="0.3"/>
  <cols>
    <col min="1" max="1" width="2" hidden="1" customWidth="1"/>
    <col min="2" max="2" width="5.109375" bestFit="1" customWidth="1"/>
    <col min="3" max="3" width="34.6640625" bestFit="1" customWidth="1"/>
    <col min="5" max="5" width="5.6640625" hidden="1" customWidth="1"/>
    <col min="8" max="8" width="0" hidden="1" customWidth="1"/>
    <col min="11" max="11" width="0" hidden="1" customWidth="1"/>
    <col min="14" max="14" width="0" hidden="1" customWidth="1"/>
    <col min="17" max="17" width="0" hidden="1" customWidth="1"/>
    <col min="20" max="20" width="0" hidden="1" customWidth="1"/>
    <col min="23" max="23" width="0" hidden="1" customWidth="1"/>
    <col min="26" max="26" width="0" hidden="1" customWidth="1"/>
    <col min="29" max="29" width="0" hidden="1" customWidth="1"/>
    <col min="32" max="32" width="0" hidden="1" customWidth="1"/>
    <col min="35" max="35" width="0" hidden="1" customWidth="1"/>
    <col min="38" max="38" width="0" hidden="1" customWidth="1"/>
    <col min="41" max="41" width="0" hidden="1" customWidth="1"/>
  </cols>
  <sheetData>
    <row r="1" spans="1:41" x14ac:dyDescent="0.3">
      <c r="B1" s="32"/>
    </row>
    <row r="2" spans="1:41" ht="27" x14ac:dyDescent="0.3">
      <c r="B2" s="1" t="s">
        <v>1</v>
      </c>
      <c r="C2" s="2" t="s">
        <v>2</v>
      </c>
      <c r="D2" s="2" t="s">
        <v>3</v>
      </c>
      <c r="E2" s="2"/>
      <c r="F2" s="68" t="s">
        <v>4</v>
      </c>
      <c r="G2" s="68"/>
      <c r="H2" s="69"/>
      <c r="I2" s="67" t="str">
        <f>"Woche " &amp; (COLUMN(I2) - COLUMN($I2)) / 3 + 1</f>
        <v>Woche 1</v>
      </c>
      <c r="J2" s="67"/>
      <c r="K2" s="67"/>
      <c r="L2" s="67" t="str">
        <f t="shared" ref="L2" si="0">"Woche " &amp; (COLUMN(L2) - COLUMN($I2)) / 3 + 1</f>
        <v>Woche 2</v>
      </c>
      <c r="M2" s="67"/>
      <c r="N2" s="67"/>
      <c r="O2" s="67" t="str">
        <f t="shared" ref="O2:AM2" si="1">"Woche " &amp; (COLUMN(O2) - COLUMN($I2)) / 3 + 1</f>
        <v>Woche 3</v>
      </c>
      <c r="P2" s="67"/>
      <c r="Q2" s="67"/>
      <c r="R2" s="67" t="str">
        <f t="shared" si="1"/>
        <v>Woche 4</v>
      </c>
      <c r="S2" s="67"/>
      <c r="T2" s="67"/>
      <c r="U2" s="67" t="str">
        <f t="shared" si="1"/>
        <v>Woche 5</v>
      </c>
      <c r="V2" s="67"/>
      <c r="W2" s="67"/>
      <c r="X2" s="67" t="str">
        <f t="shared" si="1"/>
        <v>Woche 6</v>
      </c>
      <c r="Y2" s="67"/>
      <c r="Z2" s="67"/>
      <c r="AA2" s="67" t="str">
        <f t="shared" si="1"/>
        <v>Woche 7</v>
      </c>
      <c r="AB2" s="67"/>
      <c r="AC2" s="67"/>
      <c r="AD2" s="67" t="str">
        <f t="shared" si="1"/>
        <v>Woche 8</v>
      </c>
      <c r="AE2" s="67"/>
      <c r="AF2" s="67"/>
      <c r="AG2" s="67" t="str">
        <f t="shared" si="1"/>
        <v>Woche 9</v>
      </c>
      <c r="AH2" s="67"/>
      <c r="AI2" s="67"/>
      <c r="AJ2" s="67" t="str">
        <f t="shared" si="1"/>
        <v>Woche 10</v>
      </c>
      <c r="AK2" s="67"/>
      <c r="AL2" s="67"/>
      <c r="AM2" s="67" t="str">
        <f t="shared" si="1"/>
        <v>Woche 11</v>
      </c>
      <c r="AN2" s="67"/>
      <c r="AO2" s="67"/>
    </row>
    <row r="3" spans="1:41" x14ac:dyDescent="0.3">
      <c r="B3" s="1"/>
      <c r="C3" s="2"/>
      <c r="D3" s="2"/>
      <c r="E3" s="2"/>
      <c r="F3" s="3"/>
      <c r="G3" s="3"/>
      <c r="H3" s="4"/>
      <c r="I3" s="66">
        <v>45572</v>
      </c>
      <c r="J3" s="66"/>
      <c r="K3" s="66"/>
      <c r="L3" s="66">
        <f>I3+7</f>
        <v>45579</v>
      </c>
      <c r="M3" s="66"/>
      <c r="N3" s="66"/>
      <c r="O3" s="66">
        <f t="shared" ref="O3" si="2">L3+7</f>
        <v>45586</v>
      </c>
      <c r="P3" s="66"/>
      <c r="Q3" s="66"/>
      <c r="R3" s="66">
        <f t="shared" ref="R3" si="3">O3+7</f>
        <v>45593</v>
      </c>
      <c r="S3" s="66"/>
      <c r="T3" s="66"/>
      <c r="U3" s="66">
        <f t="shared" ref="U3" si="4">R3+7</f>
        <v>45600</v>
      </c>
      <c r="V3" s="66"/>
      <c r="W3" s="66"/>
      <c r="X3" s="66">
        <f t="shared" ref="X3" si="5">U3+7</f>
        <v>45607</v>
      </c>
      <c r="Y3" s="66"/>
      <c r="Z3" s="66"/>
      <c r="AA3" s="66">
        <f t="shared" ref="AA3" si="6">X3+7</f>
        <v>45614</v>
      </c>
      <c r="AB3" s="66"/>
      <c r="AC3" s="66"/>
      <c r="AD3" s="66">
        <f t="shared" ref="AD3" si="7">AA3+7</f>
        <v>45621</v>
      </c>
      <c r="AE3" s="66"/>
      <c r="AF3" s="66"/>
      <c r="AG3" s="66">
        <f t="shared" ref="AG3" si="8">AD3+7</f>
        <v>45628</v>
      </c>
      <c r="AH3" s="66"/>
      <c r="AI3" s="66"/>
      <c r="AJ3" s="66">
        <f t="shared" ref="AJ3" si="9">AG3+7</f>
        <v>45635</v>
      </c>
      <c r="AK3" s="66"/>
      <c r="AL3" s="66"/>
      <c r="AM3" s="66">
        <f t="shared" ref="AM3" si="10">AJ3+7</f>
        <v>45642</v>
      </c>
      <c r="AN3" s="66"/>
      <c r="AO3" s="66"/>
    </row>
    <row r="4" spans="1:41" x14ac:dyDescent="0.3">
      <c r="B4" s="1"/>
      <c r="C4" s="2"/>
      <c r="D4" s="2"/>
      <c r="E4" s="2"/>
      <c r="F4" s="5" t="s">
        <v>5</v>
      </c>
      <c r="G4" s="5" t="s">
        <v>6</v>
      </c>
      <c r="H4" s="6" t="s">
        <v>7</v>
      </c>
      <c r="I4" s="5" t="s">
        <v>5</v>
      </c>
      <c r="J4" s="5" t="s">
        <v>8</v>
      </c>
      <c r="K4" s="5" t="s">
        <v>7</v>
      </c>
      <c r="L4" s="5" t="s">
        <v>5</v>
      </c>
      <c r="M4" s="5" t="s">
        <v>8</v>
      </c>
      <c r="N4" s="5" t="s">
        <v>7</v>
      </c>
      <c r="O4" s="5" t="s">
        <v>5</v>
      </c>
      <c r="P4" s="5" t="s">
        <v>8</v>
      </c>
      <c r="Q4" s="5" t="s">
        <v>7</v>
      </c>
      <c r="R4" s="5" t="s">
        <v>5</v>
      </c>
      <c r="S4" s="5" t="s">
        <v>8</v>
      </c>
      <c r="T4" s="5" t="s">
        <v>7</v>
      </c>
      <c r="U4" s="5" t="s">
        <v>5</v>
      </c>
      <c r="V4" s="5" t="s">
        <v>8</v>
      </c>
      <c r="W4" s="5" t="s">
        <v>7</v>
      </c>
      <c r="X4" s="5" t="s">
        <v>5</v>
      </c>
      <c r="Y4" s="5" t="s">
        <v>8</v>
      </c>
      <c r="Z4" s="5" t="s">
        <v>7</v>
      </c>
      <c r="AA4" s="5" t="s">
        <v>5</v>
      </c>
      <c r="AB4" s="5" t="s">
        <v>8</v>
      </c>
      <c r="AC4" s="5" t="s">
        <v>7</v>
      </c>
      <c r="AD4" s="5" t="s">
        <v>5</v>
      </c>
      <c r="AE4" s="5" t="s">
        <v>8</v>
      </c>
      <c r="AF4" s="5" t="s">
        <v>7</v>
      </c>
      <c r="AG4" s="5" t="s">
        <v>5</v>
      </c>
      <c r="AH4" s="5" t="s">
        <v>8</v>
      </c>
      <c r="AI4" s="5" t="s">
        <v>7</v>
      </c>
      <c r="AJ4" s="5" t="s">
        <v>5</v>
      </c>
      <c r="AK4" s="5" t="s">
        <v>8</v>
      </c>
      <c r="AL4" s="5" t="s">
        <v>7</v>
      </c>
      <c r="AM4" s="5" t="s">
        <v>5</v>
      </c>
      <c r="AN4" s="5" t="s">
        <v>8</v>
      </c>
      <c r="AO4" s="5" t="s">
        <v>7</v>
      </c>
    </row>
    <row r="5" spans="1:41" hidden="1" x14ac:dyDescent="0.3">
      <c r="B5" s="1"/>
      <c r="C5" s="2"/>
      <c r="D5" s="2"/>
      <c r="E5" s="2"/>
      <c r="F5" t="s">
        <v>9</v>
      </c>
      <c r="H5" s="7"/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1</v>
      </c>
      <c r="P5">
        <v>0</v>
      </c>
      <c r="Q5">
        <v>0</v>
      </c>
      <c r="R5">
        <v>1</v>
      </c>
      <c r="S5">
        <v>0</v>
      </c>
      <c r="T5">
        <v>0</v>
      </c>
      <c r="U5">
        <v>1</v>
      </c>
      <c r="V5">
        <v>0</v>
      </c>
      <c r="W5">
        <v>0</v>
      </c>
      <c r="X5">
        <v>1</v>
      </c>
      <c r="Y5">
        <v>0</v>
      </c>
      <c r="Z5">
        <v>0</v>
      </c>
      <c r="AA5">
        <v>1</v>
      </c>
      <c r="AB5">
        <v>0</v>
      </c>
      <c r="AC5">
        <v>0</v>
      </c>
      <c r="AD5">
        <v>1</v>
      </c>
      <c r="AE5">
        <v>0</v>
      </c>
      <c r="AF5">
        <v>0</v>
      </c>
      <c r="AG5">
        <v>1</v>
      </c>
      <c r="AH5">
        <v>0</v>
      </c>
      <c r="AI5">
        <v>0</v>
      </c>
      <c r="AJ5">
        <v>1</v>
      </c>
      <c r="AK5">
        <v>0</v>
      </c>
      <c r="AL5">
        <v>0</v>
      </c>
      <c r="AM5">
        <v>1</v>
      </c>
      <c r="AN5">
        <v>0</v>
      </c>
      <c r="AO5">
        <v>0</v>
      </c>
    </row>
    <row r="6" spans="1:41" hidden="1" x14ac:dyDescent="0.3">
      <c r="B6" s="32"/>
      <c r="F6" t="s">
        <v>10</v>
      </c>
      <c r="H6" s="7"/>
      <c r="I6">
        <v>0</v>
      </c>
      <c r="J6">
        <v>1</v>
      </c>
      <c r="K6">
        <v>0</v>
      </c>
      <c r="L6">
        <v>0</v>
      </c>
      <c r="M6">
        <v>1</v>
      </c>
      <c r="N6">
        <v>0</v>
      </c>
      <c r="O6">
        <v>0</v>
      </c>
      <c r="P6">
        <v>1</v>
      </c>
      <c r="Q6">
        <v>0</v>
      </c>
      <c r="R6">
        <v>0</v>
      </c>
      <c r="S6">
        <v>1</v>
      </c>
      <c r="T6">
        <v>0</v>
      </c>
      <c r="U6">
        <v>0</v>
      </c>
      <c r="V6">
        <v>1</v>
      </c>
      <c r="W6">
        <v>0</v>
      </c>
      <c r="X6">
        <v>0</v>
      </c>
      <c r="Y6">
        <v>1</v>
      </c>
      <c r="Z6">
        <v>0</v>
      </c>
      <c r="AA6">
        <v>0</v>
      </c>
      <c r="AB6">
        <v>1</v>
      </c>
      <c r="AC6">
        <v>0</v>
      </c>
      <c r="AD6">
        <v>0</v>
      </c>
      <c r="AE6">
        <v>1</v>
      </c>
      <c r="AF6">
        <v>0</v>
      </c>
      <c r="AG6">
        <v>0</v>
      </c>
      <c r="AH6">
        <v>1</v>
      </c>
      <c r="AI6">
        <v>0</v>
      </c>
      <c r="AJ6">
        <v>0</v>
      </c>
      <c r="AK6">
        <v>1</v>
      </c>
      <c r="AL6">
        <v>0</v>
      </c>
      <c r="AM6">
        <v>0</v>
      </c>
      <c r="AN6">
        <v>1</v>
      </c>
      <c r="AO6">
        <v>0</v>
      </c>
    </row>
    <row r="7" spans="1:41" x14ac:dyDescent="0.3">
      <c r="B7" s="32"/>
      <c r="F7" s="8"/>
      <c r="G7" s="8"/>
      <c r="H7" s="7" t="s">
        <v>11</v>
      </c>
      <c r="I7" s="9">
        <f>I8</f>
        <v>5</v>
      </c>
      <c r="J7" s="9">
        <f>J8</f>
        <v>8</v>
      </c>
      <c r="L7" s="9">
        <f t="shared" ref="L7:M7" si="11">L8+I7</f>
        <v>10</v>
      </c>
      <c r="M7" s="9">
        <f t="shared" si="11"/>
        <v>13</v>
      </c>
      <c r="O7" s="9">
        <f t="shared" ref="O7:P7" si="12">O8+L7</f>
        <v>11</v>
      </c>
      <c r="P7" s="9">
        <f t="shared" si="12"/>
        <v>13</v>
      </c>
      <c r="R7" s="9">
        <f t="shared" ref="R7:S7" si="13">R8+O7</f>
        <v>15</v>
      </c>
      <c r="S7" s="9">
        <f t="shared" si="13"/>
        <v>13</v>
      </c>
      <c r="U7" s="9">
        <f t="shared" ref="U7:V7" si="14">U8+R7</f>
        <v>19</v>
      </c>
      <c r="V7" s="9">
        <f t="shared" si="14"/>
        <v>13</v>
      </c>
      <c r="X7" s="9">
        <f t="shared" ref="X7:Y7" si="15">X8+U7</f>
        <v>20</v>
      </c>
      <c r="Y7" s="9">
        <f t="shared" si="15"/>
        <v>13</v>
      </c>
      <c r="AA7" s="9">
        <f t="shared" ref="AA7:AB7" si="16">AA8+X7</f>
        <v>21</v>
      </c>
      <c r="AB7" s="9">
        <f t="shared" si="16"/>
        <v>13</v>
      </c>
      <c r="AD7" s="9">
        <f t="shared" ref="AD7:AE7" si="17">AD8+AA7</f>
        <v>22</v>
      </c>
      <c r="AE7" s="9">
        <f t="shared" si="17"/>
        <v>13</v>
      </c>
      <c r="AG7" s="9">
        <f t="shared" ref="AG7:AH7" si="18">AG8+AD7</f>
        <v>27</v>
      </c>
      <c r="AH7" s="9">
        <f t="shared" si="18"/>
        <v>13</v>
      </c>
      <c r="AJ7" s="9">
        <f t="shared" ref="AJ7:AK7" si="19">AJ8+AG7</f>
        <v>32</v>
      </c>
      <c r="AK7" s="9">
        <f t="shared" si="19"/>
        <v>13</v>
      </c>
      <c r="AM7" s="9">
        <f t="shared" ref="AM7:AN7" si="20">AM8+AJ7</f>
        <v>32</v>
      </c>
      <c r="AN7" s="9">
        <f t="shared" si="20"/>
        <v>13</v>
      </c>
    </row>
    <row r="8" spans="1:41" x14ac:dyDescent="0.3">
      <c r="A8">
        <v>1</v>
      </c>
      <c r="B8" s="10" t="s">
        <v>37</v>
      </c>
      <c r="C8" s="11" t="s">
        <v>38</v>
      </c>
      <c r="D8" s="11"/>
      <c r="E8" s="11">
        <f>GANTT!$F$8</f>
        <v>122.5</v>
      </c>
      <c r="F8" s="11">
        <f>SUM(F9,F17)</f>
        <v>32</v>
      </c>
      <c r="G8" s="11">
        <f>SUM(G9,G17)</f>
        <v>13</v>
      </c>
      <c r="H8" s="12"/>
      <c r="I8" s="11">
        <f t="shared" ref="I8:J8" si="21">SUM(I9,I17)</f>
        <v>5</v>
      </c>
      <c r="J8" s="11">
        <f t="shared" si="21"/>
        <v>8</v>
      </c>
      <c r="K8" s="13"/>
      <c r="L8" s="11">
        <f t="shared" ref="L8:M8" si="22">SUM(L9,L17)</f>
        <v>5</v>
      </c>
      <c r="M8" s="11">
        <f t="shared" si="22"/>
        <v>5</v>
      </c>
      <c r="N8" s="13"/>
      <c r="O8" s="11">
        <f t="shared" ref="O8:P8" si="23">SUM(O9,O17)</f>
        <v>1</v>
      </c>
      <c r="P8" s="11">
        <f t="shared" si="23"/>
        <v>0</v>
      </c>
      <c r="Q8" s="13"/>
      <c r="R8" s="11">
        <f t="shared" ref="R8:S8" si="24">SUM(R9,R17)</f>
        <v>4</v>
      </c>
      <c r="S8" s="11">
        <f t="shared" si="24"/>
        <v>0</v>
      </c>
      <c r="T8" s="13"/>
      <c r="U8" s="11">
        <f t="shared" ref="U8:V8" si="25">SUM(U9,U17)</f>
        <v>4</v>
      </c>
      <c r="V8" s="11">
        <f t="shared" si="25"/>
        <v>0</v>
      </c>
      <c r="W8" s="13"/>
      <c r="X8" s="11">
        <f t="shared" ref="X8:Y8" si="26">SUM(X9,X17)</f>
        <v>1</v>
      </c>
      <c r="Y8" s="11">
        <f t="shared" si="26"/>
        <v>0</v>
      </c>
      <c r="Z8" s="13"/>
      <c r="AA8" s="11">
        <f t="shared" ref="AA8:AB8" si="27">SUM(AA9,AA17)</f>
        <v>1</v>
      </c>
      <c r="AB8" s="11">
        <f t="shared" si="27"/>
        <v>0</v>
      </c>
      <c r="AC8" s="13"/>
      <c r="AD8" s="11">
        <f t="shared" ref="AD8:AE8" si="28">SUM(AD9,AD17)</f>
        <v>1</v>
      </c>
      <c r="AE8" s="11">
        <f t="shared" si="28"/>
        <v>0</v>
      </c>
      <c r="AF8" s="13"/>
      <c r="AG8" s="11">
        <f t="shared" ref="AG8:AH8" si="29">SUM(AG9,AG17)</f>
        <v>5</v>
      </c>
      <c r="AH8" s="11">
        <f t="shared" si="29"/>
        <v>0</v>
      </c>
      <c r="AI8" s="13"/>
      <c r="AJ8" s="11">
        <f t="shared" ref="AJ8:AK8" si="30">SUM(AJ9,AJ17)</f>
        <v>5</v>
      </c>
      <c r="AK8" s="11">
        <f t="shared" si="30"/>
        <v>0</v>
      </c>
      <c r="AL8" s="13"/>
      <c r="AM8" s="11">
        <f t="shared" ref="AM8:AN8" si="31">SUM(AM9,AM17)</f>
        <v>0</v>
      </c>
      <c r="AN8" s="11">
        <f t="shared" si="31"/>
        <v>0</v>
      </c>
      <c r="AO8" s="13"/>
    </row>
    <row r="9" spans="1:41" x14ac:dyDescent="0.3">
      <c r="A9">
        <v>2</v>
      </c>
      <c r="B9" s="14" t="s">
        <v>13</v>
      </c>
      <c r="C9" s="37" t="s">
        <v>39</v>
      </c>
      <c r="D9" s="14"/>
      <c r="E9" s="40">
        <f>GANTT!$F$9</f>
        <v>80.5</v>
      </c>
      <c r="F9" s="16">
        <f>SUM(F10,F11,F12,F13,F14,F15,F16)</f>
        <v>26</v>
      </c>
      <c r="G9" s="16">
        <f>SUM(G10,G11,G12,G13,G14,G15,G16)</f>
        <v>13</v>
      </c>
      <c r="H9" s="17"/>
      <c r="I9" s="16">
        <f t="shared" ref="I9:J9" si="32">SUM(I10,I11,I12,I13,I14,I15,I16)</f>
        <v>5</v>
      </c>
      <c r="J9" s="16">
        <f t="shared" si="32"/>
        <v>8</v>
      </c>
      <c r="K9" s="18"/>
      <c r="L9" s="16">
        <f t="shared" ref="L9:M9" si="33">SUM(L10,L11,L12,L13,L14,L15,L16)</f>
        <v>5</v>
      </c>
      <c r="M9" s="16">
        <f t="shared" si="33"/>
        <v>5</v>
      </c>
      <c r="N9" s="18"/>
      <c r="O9" s="16">
        <f t="shared" ref="O9:P9" si="34">SUM(O10,O11,O12,O13,O14,O15,O16)</f>
        <v>1</v>
      </c>
      <c r="P9" s="16">
        <f t="shared" si="34"/>
        <v>0</v>
      </c>
      <c r="Q9" s="18"/>
      <c r="R9" s="16">
        <f t="shared" ref="R9:S9" si="35">SUM(R10,R11,R12,R13,R14,R15,R16)</f>
        <v>1</v>
      </c>
      <c r="S9" s="16">
        <f t="shared" si="35"/>
        <v>0</v>
      </c>
      <c r="T9" s="18"/>
      <c r="U9" s="16">
        <f t="shared" ref="U9:V9" si="36">SUM(U10,U11,U12,U13,U14,U15,U16)</f>
        <v>1</v>
      </c>
      <c r="V9" s="16">
        <f t="shared" si="36"/>
        <v>0</v>
      </c>
      <c r="W9" s="18"/>
      <c r="X9" s="16">
        <f t="shared" ref="X9:Y9" si="37">SUM(X10,X11,X12,X13,X14,X15,X16)</f>
        <v>1</v>
      </c>
      <c r="Y9" s="16">
        <f t="shared" si="37"/>
        <v>0</v>
      </c>
      <c r="Z9" s="18"/>
      <c r="AA9" s="16">
        <f t="shared" ref="AA9:AB9" si="38">SUM(AA10,AA11,AA12,AA13,AA14,AA15,AA16)</f>
        <v>1</v>
      </c>
      <c r="AB9" s="16">
        <f t="shared" si="38"/>
        <v>0</v>
      </c>
      <c r="AC9" s="18"/>
      <c r="AD9" s="16">
        <f t="shared" ref="AD9:AE9" si="39">SUM(AD10,AD11,AD12,AD13,AD14,AD15,AD16)</f>
        <v>1</v>
      </c>
      <c r="AE9" s="16">
        <f t="shared" si="39"/>
        <v>0</v>
      </c>
      <c r="AF9" s="18"/>
      <c r="AG9" s="16">
        <f t="shared" ref="AG9:AH9" si="40">SUM(AG10,AG11,AG12,AG13,AG14,AG15,AG16)</f>
        <v>5</v>
      </c>
      <c r="AH9" s="16">
        <f t="shared" si="40"/>
        <v>0</v>
      </c>
      <c r="AI9" s="18"/>
      <c r="AJ9" s="16">
        <f t="shared" ref="AJ9:AK9" si="41">SUM(AJ10,AJ11,AJ12,AJ13,AJ14,AJ15,AJ16)</f>
        <v>5</v>
      </c>
      <c r="AK9" s="16">
        <f t="shared" si="41"/>
        <v>0</v>
      </c>
      <c r="AL9" s="18"/>
      <c r="AM9" s="16">
        <f t="shared" ref="AM9:AN9" si="42">SUM(AM10,AM11,AM12,AM13,AM14,AM15,AM16)</f>
        <v>0</v>
      </c>
      <c r="AN9" s="16">
        <f t="shared" si="42"/>
        <v>0</v>
      </c>
      <c r="AO9" s="18"/>
    </row>
    <row r="10" spans="1:41" x14ac:dyDescent="0.3">
      <c r="A10">
        <v>3</v>
      </c>
      <c r="B10" s="19" t="s">
        <v>15</v>
      </c>
      <c r="C10" s="36" t="s">
        <v>40</v>
      </c>
      <c r="D10" s="19"/>
      <c r="E10" s="42">
        <f>GANTT!$F$10</f>
        <v>24</v>
      </c>
      <c r="F10" s="21">
        <f>SUMPRODUCT(I5:$AO$5, $I$10:$AO$10)</f>
        <v>8</v>
      </c>
      <c r="G10" s="21">
        <f>SUMPRODUCT(I6:$AO$6, $I$10:$AO$10)</f>
        <v>13</v>
      </c>
      <c r="H10" s="22"/>
      <c r="I10" s="21">
        <v>4</v>
      </c>
      <c r="J10" s="21">
        <v>8</v>
      </c>
      <c r="K10" s="23"/>
      <c r="L10" s="21">
        <v>4</v>
      </c>
      <c r="M10" s="21">
        <v>5</v>
      </c>
      <c r="N10" s="23"/>
      <c r="O10" s="21"/>
      <c r="P10" s="21"/>
      <c r="Q10" s="23"/>
      <c r="R10" s="21"/>
      <c r="S10" s="21"/>
      <c r="T10" s="23"/>
      <c r="U10" s="21"/>
      <c r="V10" s="21"/>
      <c r="W10" s="23"/>
      <c r="X10" s="21"/>
      <c r="Y10" s="21"/>
      <c r="Z10" s="23"/>
      <c r="AA10" s="21"/>
      <c r="AB10" s="21"/>
      <c r="AC10" s="23"/>
      <c r="AD10" s="21"/>
      <c r="AE10" s="21"/>
      <c r="AF10" s="23"/>
      <c r="AG10" s="21"/>
      <c r="AH10" s="21"/>
      <c r="AI10" s="23"/>
      <c r="AJ10" s="21"/>
      <c r="AK10" s="21"/>
      <c r="AL10" s="23"/>
      <c r="AM10" s="21"/>
      <c r="AN10" s="21"/>
      <c r="AO10" s="23"/>
    </row>
    <row r="11" spans="1:41" x14ac:dyDescent="0.3">
      <c r="A11">
        <v>3</v>
      </c>
      <c r="B11" s="19" t="s">
        <v>17</v>
      </c>
      <c r="C11" s="36" t="s">
        <v>41</v>
      </c>
      <c r="D11" s="19"/>
      <c r="E11" s="42">
        <f>GANTT!$F$11</f>
        <v>0</v>
      </c>
      <c r="F11" s="21">
        <f>SUMPRODUCT(I5:$AO$5, $I$11:$AO$11)</f>
        <v>0</v>
      </c>
      <c r="G11" s="21">
        <f>SUMPRODUCT(I6:$AO$6, $I$11:$AO$11)</f>
        <v>0</v>
      </c>
      <c r="H11" s="22"/>
      <c r="I11" s="21"/>
      <c r="J11" s="21"/>
      <c r="K11" s="23"/>
      <c r="L11" s="21"/>
      <c r="M11" s="21"/>
      <c r="N11" s="23"/>
      <c r="O11" s="21"/>
      <c r="P11" s="21"/>
      <c r="Q11" s="23"/>
      <c r="R11" s="21"/>
      <c r="S11" s="21"/>
      <c r="T11" s="23"/>
      <c r="U11" s="21"/>
      <c r="V11" s="21"/>
      <c r="W11" s="23"/>
      <c r="X11" s="21"/>
      <c r="Y11" s="21"/>
      <c r="Z11" s="23"/>
      <c r="AA11" s="21"/>
      <c r="AB11" s="21"/>
      <c r="AC11" s="23"/>
      <c r="AD11" s="21"/>
      <c r="AE11" s="21"/>
      <c r="AF11" s="23"/>
      <c r="AG11" s="21"/>
      <c r="AH11" s="21"/>
      <c r="AI11" s="23"/>
      <c r="AJ11" s="21"/>
      <c r="AK11" s="21"/>
      <c r="AL11" s="23"/>
      <c r="AM11" s="21"/>
      <c r="AN11" s="21"/>
      <c r="AO11" s="23"/>
    </row>
    <row r="12" spans="1:41" x14ac:dyDescent="0.3">
      <c r="A12">
        <v>3</v>
      </c>
      <c r="B12" s="19" t="s">
        <v>19</v>
      </c>
      <c r="C12" s="36" t="s">
        <v>42</v>
      </c>
      <c r="D12" s="19"/>
      <c r="E12" s="42">
        <f>GANTT!$F$12</f>
        <v>7.5</v>
      </c>
      <c r="F12" s="21">
        <f>SUMPRODUCT(I5:$AO$5, $I$12:$AO$12)</f>
        <v>2.5</v>
      </c>
      <c r="G12" s="21">
        <f>SUMPRODUCT(I6:$AO$6, $I$12:$AO$12)</f>
        <v>0</v>
      </c>
      <c r="H12" s="22"/>
      <c r="I12" s="21">
        <v>0.25</v>
      </c>
      <c r="J12" s="21"/>
      <c r="K12" s="23"/>
      <c r="L12" s="21">
        <v>0.25</v>
      </c>
      <c r="M12" s="21"/>
      <c r="N12" s="23"/>
      <c r="O12" s="21">
        <v>0.25</v>
      </c>
      <c r="P12" s="21"/>
      <c r="Q12" s="23"/>
      <c r="R12" s="21">
        <v>0.25</v>
      </c>
      <c r="S12" s="21"/>
      <c r="T12" s="23"/>
      <c r="U12" s="21">
        <v>0.25</v>
      </c>
      <c r="V12" s="21"/>
      <c r="W12" s="23"/>
      <c r="X12" s="21">
        <v>0.25</v>
      </c>
      <c r="Y12" s="21"/>
      <c r="Z12" s="23"/>
      <c r="AA12" s="21">
        <v>0.25</v>
      </c>
      <c r="AB12" s="21"/>
      <c r="AC12" s="23"/>
      <c r="AD12" s="21">
        <v>0.25</v>
      </c>
      <c r="AE12" s="21"/>
      <c r="AF12" s="23"/>
      <c r="AG12" s="21">
        <v>0.25</v>
      </c>
      <c r="AH12" s="21"/>
      <c r="AI12" s="23"/>
      <c r="AJ12" s="21">
        <v>0.25</v>
      </c>
      <c r="AK12" s="21"/>
      <c r="AL12" s="23"/>
      <c r="AM12" s="21"/>
      <c r="AN12" s="21"/>
      <c r="AO12" s="23"/>
    </row>
    <row r="13" spans="1:41" x14ac:dyDescent="0.3">
      <c r="A13">
        <v>3</v>
      </c>
      <c r="B13" s="19" t="s">
        <v>43</v>
      </c>
      <c r="C13" s="36" t="s">
        <v>44</v>
      </c>
      <c r="D13" s="19"/>
      <c r="E13" s="42">
        <f>GANTT!$F$13</f>
        <v>15</v>
      </c>
      <c r="F13" s="21">
        <f>SUMPRODUCT(I5:$AO$5, $I$13:$AO$13)</f>
        <v>5</v>
      </c>
      <c r="G13" s="21">
        <f>SUMPRODUCT(I6:$AO$6, $I$13:$AO$13)</f>
        <v>0</v>
      </c>
      <c r="H13" s="22"/>
      <c r="I13" s="21">
        <v>0.5</v>
      </c>
      <c r="J13" s="21"/>
      <c r="K13" s="23"/>
      <c r="L13" s="21">
        <v>0.5</v>
      </c>
      <c r="M13" s="21"/>
      <c r="N13" s="23"/>
      <c r="O13" s="21">
        <v>0.5</v>
      </c>
      <c r="P13" s="21"/>
      <c r="Q13" s="23"/>
      <c r="R13" s="21">
        <v>0.5</v>
      </c>
      <c r="S13" s="21"/>
      <c r="T13" s="23"/>
      <c r="U13" s="21">
        <v>0.5</v>
      </c>
      <c r="V13" s="21"/>
      <c r="W13" s="23"/>
      <c r="X13" s="21">
        <v>0.5</v>
      </c>
      <c r="Y13" s="21"/>
      <c r="Z13" s="23"/>
      <c r="AA13" s="21">
        <v>0.5</v>
      </c>
      <c r="AB13" s="21"/>
      <c r="AC13" s="23"/>
      <c r="AD13" s="21">
        <v>0.5</v>
      </c>
      <c r="AE13" s="21"/>
      <c r="AF13" s="23"/>
      <c r="AG13" s="21">
        <v>0.5</v>
      </c>
      <c r="AH13" s="21"/>
      <c r="AI13" s="23"/>
      <c r="AJ13" s="21">
        <v>0.5</v>
      </c>
      <c r="AK13" s="21"/>
      <c r="AL13" s="23"/>
      <c r="AM13" s="21"/>
      <c r="AN13" s="21"/>
      <c r="AO13" s="23"/>
    </row>
    <row r="14" spans="1:41" x14ac:dyDescent="0.3">
      <c r="A14">
        <v>3</v>
      </c>
      <c r="B14" s="19" t="s">
        <v>45</v>
      </c>
      <c r="C14" s="36" t="s">
        <v>46</v>
      </c>
      <c r="D14" s="19"/>
      <c r="E14" s="42">
        <f>GANTT!$F$14</f>
        <v>10</v>
      </c>
      <c r="F14" s="21">
        <f>SUMPRODUCT(I5:$AO$5, $I$14:$AO$14)</f>
        <v>2.5</v>
      </c>
      <c r="G14" s="21">
        <f>SUMPRODUCT(I6:$AO$6, $I$14:$AO$14)</f>
        <v>0</v>
      </c>
      <c r="H14" s="22"/>
      <c r="I14" s="21">
        <v>0.25</v>
      </c>
      <c r="J14" s="21"/>
      <c r="K14" s="23"/>
      <c r="L14" s="21">
        <v>0.25</v>
      </c>
      <c r="M14" s="21"/>
      <c r="N14" s="23"/>
      <c r="O14" s="21">
        <v>0.25</v>
      </c>
      <c r="P14" s="21"/>
      <c r="Q14" s="23"/>
      <c r="R14" s="21">
        <v>0.25</v>
      </c>
      <c r="S14" s="21"/>
      <c r="T14" s="23"/>
      <c r="U14" s="21">
        <v>0.25</v>
      </c>
      <c r="V14" s="21"/>
      <c r="W14" s="23"/>
      <c r="X14" s="21">
        <v>0.25</v>
      </c>
      <c r="Y14" s="21"/>
      <c r="Z14" s="23"/>
      <c r="AA14" s="21">
        <v>0.25</v>
      </c>
      <c r="AB14" s="21"/>
      <c r="AC14" s="23"/>
      <c r="AD14" s="21">
        <v>0.25</v>
      </c>
      <c r="AE14" s="21"/>
      <c r="AF14" s="23"/>
      <c r="AG14" s="21">
        <v>0.25</v>
      </c>
      <c r="AH14" s="21"/>
      <c r="AI14" s="23"/>
      <c r="AJ14" s="21">
        <v>0.25</v>
      </c>
      <c r="AK14" s="21"/>
      <c r="AL14" s="23"/>
      <c r="AM14" s="21"/>
      <c r="AN14" s="21"/>
      <c r="AO14" s="23"/>
    </row>
    <row r="15" spans="1:41" x14ac:dyDescent="0.3">
      <c r="A15">
        <v>3</v>
      </c>
      <c r="B15" s="19" t="s">
        <v>47</v>
      </c>
      <c r="C15" s="36" t="s">
        <v>48</v>
      </c>
      <c r="D15" s="19"/>
      <c r="E15" s="42">
        <f>GANTT!$F$15</f>
        <v>24</v>
      </c>
      <c r="F15" s="21">
        <f>SUMPRODUCT(I5:$AO$5, $I$15:$AO$15)</f>
        <v>8</v>
      </c>
      <c r="G15" s="21">
        <f>SUMPRODUCT(I6:$AO$6, $I$15:$AO$15)</f>
        <v>0</v>
      </c>
      <c r="H15" s="22"/>
      <c r="I15" s="21"/>
      <c r="J15" s="21"/>
      <c r="K15" s="23"/>
      <c r="L15" s="21"/>
      <c r="M15" s="21"/>
      <c r="N15" s="23"/>
      <c r="O15" s="21"/>
      <c r="P15" s="21"/>
      <c r="Q15" s="23"/>
      <c r="R15" s="21"/>
      <c r="S15" s="21"/>
      <c r="T15" s="23"/>
      <c r="U15" s="21"/>
      <c r="V15" s="21"/>
      <c r="W15" s="23"/>
      <c r="X15" s="21"/>
      <c r="Y15" s="21"/>
      <c r="Z15" s="23"/>
      <c r="AA15" s="21"/>
      <c r="AB15" s="21"/>
      <c r="AC15" s="23"/>
      <c r="AD15" s="21"/>
      <c r="AE15" s="21"/>
      <c r="AF15" s="23"/>
      <c r="AG15" s="21">
        <v>4</v>
      </c>
      <c r="AH15" s="21"/>
      <c r="AI15" s="23"/>
      <c r="AJ15" s="21">
        <v>4</v>
      </c>
      <c r="AK15" s="21"/>
      <c r="AL15" s="23"/>
      <c r="AM15" s="21"/>
      <c r="AN15" s="21"/>
      <c r="AO15" s="23"/>
    </row>
    <row r="16" spans="1:41" x14ac:dyDescent="0.3">
      <c r="A16">
        <v>3</v>
      </c>
      <c r="B16" s="19" t="s">
        <v>49</v>
      </c>
      <c r="C16" s="36" t="s">
        <v>50</v>
      </c>
      <c r="D16" s="19"/>
      <c r="E16" s="42">
        <f>GANTT!$F$16</f>
        <v>0</v>
      </c>
      <c r="F16" s="21">
        <f>SUMPRODUCT(I5:$AO$5, $I$16:$AO$16)</f>
        <v>0</v>
      </c>
      <c r="G16" s="21">
        <f>SUMPRODUCT(I6:$AO$6, $I$16:$AO$16)</f>
        <v>0</v>
      </c>
      <c r="H16" s="22"/>
      <c r="I16" s="21"/>
      <c r="J16" s="21"/>
      <c r="K16" s="23"/>
      <c r="L16" s="21"/>
      <c r="M16" s="21"/>
      <c r="N16" s="23"/>
      <c r="O16" s="21"/>
      <c r="P16" s="21"/>
      <c r="Q16" s="23"/>
      <c r="R16" s="21"/>
      <c r="S16" s="21"/>
      <c r="T16" s="23"/>
      <c r="U16" s="21"/>
      <c r="V16" s="21"/>
      <c r="W16" s="23"/>
      <c r="X16" s="21"/>
      <c r="Y16" s="21"/>
      <c r="Z16" s="23"/>
      <c r="AA16" s="21"/>
      <c r="AB16" s="21"/>
      <c r="AC16" s="23"/>
      <c r="AD16" s="21"/>
      <c r="AE16" s="21"/>
      <c r="AF16" s="23"/>
      <c r="AG16" s="21"/>
      <c r="AH16" s="21"/>
      <c r="AI16" s="23"/>
      <c r="AJ16" s="21"/>
      <c r="AK16" s="21"/>
      <c r="AL16" s="23"/>
      <c r="AM16" s="21"/>
      <c r="AN16" s="21"/>
      <c r="AO16" s="23"/>
    </row>
    <row r="17" spans="1:41" x14ac:dyDescent="0.3">
      <c r="A17">
        <v>2</v>
      </c>
      <c r="B17" s="14" t="s">
        <v>51</v>
      </c>
      <c r="C17" s="37" t="s">
        <v>52</v>
      </c>
      <c r="D17" s="14"/>
      <c r="E17" s="40">
        <f>GANTT!$F$17</f>
        <v>42</v>
      </c>
      <c r="F17" s="16">
        <f>SUM(F18,F19,F20,F21)</f>
        <v>6</v>
      </c>
      <c r="G17" s="16">
        <f>SUM(G18,G19,G20,G21)</f>
        <v>0</v>
      </c>
      <c r="H17" s="17"/>
      <c r="I17" s="16">
        <f t="shared" ref="I17:J17" si="43">SUM(I18,I19,I20,I21)</f>
        <v>0</v>
      </c>
      <c r="J17" s="16">
        <f t="shared" si="43"/>
        <v>0</v>
      </c>
      <c r="K17" s="18"/>
      <c r="L17" s="16">
        <f t="shared" ref="L17:M17" si="44">SUM(L18,L19,L20,L21)</f>
        <v>0</v>
      </c>
      <c r="M17" s="16">
        <f t="shared" si="44"/>
        <v>0</v>
      </c>
      <c r="N17" s="18"/>
      <c r="O17" s="16">
        <f t="shared" ref="O17:P17" si="45">SUM(O18,O19,O20,O21)</f>
        <v>0</v>
      </c>
      <c r="P17" s="16">
        <f t="shared" si="45"/>
        <v>0</v>
      </c>
      <c r="Q17" s="18"/>
      <c r="R17" s="16">
        <f t="shared" ref="R17:S17" si="46">SUM(R18,R19,R20,R21)</f>
        <v>3</v>
      </c>
      <c r="S17" s="16">
        <f t="shared" si="46"/>
        <v>0</v>
      </c>
      <c r="T17" s="18"/>
      <c r="U17" s="16">
        <f t="shared" ref="U17:V17" si="47">SUM(U18,U19,U20,U21)</f>
        <v>3</v>
      </c>
      <c r="V17" s="16">
        <f t="shared" si="47"/>
        <v>0</v>
      </c>
      <c r="W17" s="18"/>
      <c r="X17" s="16">
        <f t="shared" ref="X17:Y17" si="48">SUM(X18,X19,X20,X21)</f>
        <v>0</v>
      </c>
      <c r="Y17" s="16">
        <f t="shared" si="48"/>
        <v>0</v>
      </c>
      <c r="Z17" s="18"/>
      <c r="AA17" s="16">
        <f t="shared" ref="AA17:AB17" si="49">SUM(AA18,AA19,AA20,AA21)</f>
        <v>0</v>
      </c>
      <c r="AB17" s="16">
        <f t="shared" si="49"/>
        <v>0</v>
      </c>
      <c r="AC17" s="18"/>
      <c r="AD17" s="16">
        <f t="shared" ref="AD17:AE17" si="50">SUM(AD18,AD19,AD20,AD21)</f>
        <v>0</v>
      </c>
      <c r="AE17" s="16">
        <f t="shared" si="50"/>
        <v>0</v>
      </c>
      <c r="AF17" s="18"/>
      <c r="AG17" s="16">
        <f t="shared" ref="AG17:AH17" si="51">SUM(AG18,AG19,AG20,AG21)</f>
        <v>0</v>
      </c>
      <c r="AH17" s="16">
        <f t="shared" si="51"/>
        <v>0</v>
      </c>
      <c r="AI17" s="18"/>
      <c r="AJ17" s="16">
        <f t="shared" ref="AJ17:AK17" si="52">SUM(AJ18,AJ19,AJ20,AJ21)</f>
        <v>0</v>
      </c>
      <c r="AK17" s="16">
        <f t="shared" si="52"/>
        <v>0</v>
      </c>
      <c r="AL17" s="18"/>
      <c r="AM17" s="16">
        <f t="shared" ref="AM17:AN17" si="53">SUM(AM18,AM19,AM20,AM21)</f>
        <v>0</v>
      </c>
      <c r="AN17" s="16">
        <f t="shared" si="53"/>
        <v>0</v>
      </c>
      <c r="AO17" s="18"/>
    </row>
    <row r="18" spans="1:41" x14ac:dyDescent="0.3">
      <c r="A18">
        <v>3</v>
      </c>
      <c r="B18" s="19" t="s">
        <v>53</v>
      </c>
      <c r="C18" s="36" t="s">
        <v>54</v>
      </c>
      <c r="D18" s="19"/>
      <c r="E18" s="42">
        <f>GANTT!$F$18</f>
        <v>12</v>
      </c>
      <c r="F18" s="21">
        <f>SUMPRODUCT(I5:$AO$5, $I$18:$AO$18)</f>
        <v>0</v>
      </c>
      <c r="G18" s="21">
        <f>SUMPRODUCT(I6:$AO$6, $I$18:$AO$18)</f>
        <v>0</v>
      </c>
      <c r="H18" s="22"/>
      <c r="I18" s="21"/>
      <c r="J18" s="21"/>
      <c r="K18" s="23"/>
      <c r="L18" s="21"/>
      <c r="M18" s="21"/>
      <c r="N18" s="23"/>
      <c r="O18" s="21"/>
      <c r="P18" s="21"/>
      <c r="Q18" s="23"/>
      <c r="R18" s="21"/>
      <c r="S18" s="21"/>
      <c r="T18" s="23"/>
      <c r="U18" s="21"/>
      <c r="V18" s="21"/>
      <c r="W18" s="23"/>
      <c r="X18" s="21"/>
      <c r="Y18" s="21"/>
      <c r="Z18" s="23"/>
      <c r="AA18" s="21"/>
      <c r="AB18" s="21"/>
      <c r="AC18" s="23"/>
      <c r="AD18" s="21"/>
      <c r="AE18" s="21"/>
      <c r="AF18" s="23"/>
      <c r="AG18" s="21"/>
      <c r="AH18" s="21"/>
      <c r="AI18" s="23"/>
      <c r="AJ18" s="21"/>
      <c r="AK18" s="21"/>
      <c r="AL18" s="23"/>
      <c r="AM18" s="21"/>
      <c r="AN18" s="21"/>
      <c r="AO18" s="23"/>
    </row>
    <row r="19" spans="1:41" x14ac:dyDescent="0.3">
      <c r="A19">
        <v>3</v>
      </c>
      <c r="B19" s="19" t="s">
        <v>55</v>
      </c>
      <c r="C19" s="36" t="s">
        <v>56</v>
      </c>
      <c r="D19" s="19"/>
      <c r="E19" s="42">
        <f>GANTT!$F$19</f>
        <v>6</v>
      </c>
      <c r="F19" s="21">
        <f>SUMPRODUCT(I5:$AO$5, $I$19:$AO$19)</f>
        <v>6</v>
      </c>
      <c r="G19" s="21">
        <f>SUMPRODUCT(I6:$AO$6, $I$19:$AO$19)</f>
        <v>0</v>
      </c>
      <c r="H19" s="22"/>
      <c r="I19" s="21"/>
      <c r="J19" s="21"/>
      <c r="K19" s="23"/>
      <c r="L19" s="21"/>
      <c r="M19" s="21"/>
      <c r="N19" s="23"/>
      <c r="O19" s="21"/>
      <c r="P19" s="21"/>
      <c r="Q19" s="23"/>
      <c r="R19" s="21">
        <v>3</v>
      </c>
      <c r="S19" s="21"/>
      <c r="T19" s="23"/>
      <c r="U19" s="21">
        <v>3</v>
      </c>
      <c r="V19" s="21"/>
      <c r="W19" s="23"/>
      <c r="X19" s="21"/>
      <c r="Y19" s="21"/>
      <c r="Z19" s="23"/>
      <c r="AA19" s="21"/>
      <c r="AB19" s="21"/>
      <c r="AC19" s="23"/>
      <c r="AD19" s="21"/>
      <c r="AE19" s="21"/>
      <c r="AF19" s="23"/>
      <c r="AG19" s="21"/>
      <c r="AH19" s="21"/>
      <c r="AI19" s="23"/>
      <c r="AJ19" s="21"/>
      <c r="AK19" s="21"/>
      <c r="AL19" s="23"/>
      <c r="AM19" s="21"/>
      <c r="AN19" s="21"/>
      <c r="AO19" s="23"/>
    </row>
    <row r="20" spans="1:41" x14ac:dyDescent="0.3">
      <c r="A20">
        <v>3</v>
      </c>
      <c r="B20" s="19" t="s">
        <v>57</v>
      </c>
      <c r="C20" s="36" t="s">
        <v>58</v>
      </c>
      <c r="D20" s="19"/>
      <c r="E20" s="42">
        <f>GANTT!$F$20</f>
        <v>24</v>
      </c>
      <c r="F20" s="21">
        <f>SUMPRODUCT(I5:$AO$5, $I$20:$AO$20)</f>
        <v>0</v>
      </c>
      <c r="G20" s="21">
        <f>SUMPRODUCT(I6:$AO$6, $I$20:$AO$20)</f>
        <v>0</v>
      </c>
      <c r="H20" s="22"/>
      <c r="I20" s="21"/>
      <c r="J20" s="21"/>
      <c r="K20" s="23"/>
      <c r="L20" s="21"/>
      <c r="M20" s="21"/>
      <c r="N20" s="23"/>
      <c r="O20" s="21"/>
      <c r="P20" s="21"/>
      <c r="Q20" s="23"/>
      <c r="R20" s="21"/>
      <c r="S20" s="21"/>
      <c r="T20" s="23"/>
      <c r="U20" s="21"/>
      <c r="V20" s="21"/>
      <c r="W20" s="23"/>
      <c r="X20" s="21"/>
      <c r="Y20" s="21"/>
      <c r="Z20" s="23"/>
      <c r="AA20" s="21"/>
      <c r="AB20" s="21"/>
      <c r="AC20" s="23"/>
      <c r="AD20" s="21"/>
      <c r="AE20" s="21"/>
      <c r="AF20" s="23"/>
      <c r="AG20" s="21"/>
      <c r="AH20" s="21"/>
      <c r="AI20" s="23"/>
      <c r="AJ20" s="21"/>
      <c r="AK20" s="21"/>
      <c r="AL20" s="23"/>
      <c r="AM20" s="21"/>
      <c r="AN20" s="21"/>
      <c r="AO20" s="23"/>
    </row>
    <row r="21" spans="1:41" x14ac:dyDescent="0.3">
      <c r="A21">
        <v>3</v>
      </c>
      <c r="B21" s="19" t="s">
        <v>59</v>
      </c>
      <c r="C21" s="36" t="s">
        <v>60</v>
      </c>
      <c r="D21" s="19"/>
      <c r="E21" s="42">
        <f>GANTT!$F$21</f>
        <v>0</v>
      </c>
      <c r="F21" s="21">
        <f>SUMPRODUCT(I5:$AO$5, $I$21:$AO$21)</f>
        <v>0</v>
      </c>
      <c r="G21" s="21">
        <f>SUMPRODUCT(I6:$AO$6, $I$21:$AO$21)</f>
        <v>0</v>
      </c>
      <c r="H21" s="22"/>
      <c r="I21" s="21"/>
      <c r="J21" s="21"/>
      <c r="K21" s="23"/>
      <c r="L21" s="21"/>
      <c r="M21" s="21"/>
      <c r="N21" s="23"/>
      <c r="O21" s="21"/>
      <c r="P21" s="21"/>
      <c r="Q21" s="23"/>
      <c r="R21" s="21"/>
      <c r="S21" s="21"/>
      <c r="T21" s="23"/>
      <c r="U21" s="21"/>
      <c r="V21" s="21"/>
      <c r="W21" s="23"/>
      <c r="X21" s="21"/>
      <c r="Y21" s="21"/>
      <c r="Z21" s="23"/>
      <c r="AA21" s="21"/>
      <c r="AB21" s="21"/>
      <c r="AC21" s="23"/>
      <c r="AD21" s="21"/>
      <c r="AE21" s="21"/>
      <c r="AF21" s="23"/>
      <c r="AG21" s="21"/>
      <c r="AH21" s="21"/>
      <c r="AI21" s="23"/>
      <c r="AJ21" s="21"/>
      <c r="AK21" s="21"/>
      <c r="AL21" s="23"/>
      <c r="AM21" s="21"/>
      <c r="AN21" s="21"/>
      <c r="AO21" s="23"/>
    </row>
    <row r="22" spans="1:41" x14ac:dyDescent="0.3">
      <c r="E22">
        <f>GANTT!$F$22</f>
        <v>0</v>
      </c>
    </row>
  </sheetData>
  <mergeCells count="23">
    <mergeCell ref="AJ2:AL2"/>
    <mergeCell ref="AM2:AO2"/>
    <mergeCell ref="F2:H2"/>
    <mergeCell ref="I2:K2"/>
    <mergeCell ref="L2:N2"/>
    <mergeCell ref="O2:Q2"/>
    <mergeCell ref="R2:T2"/>
    <mergeCell ref="U2:W2"/>
    <mergeCell ref="X3:Z3"/>
    <mergeCell ref="X2:Z2"/>
    <mergeCell ref="AA2:AC2"/>
    <mergeCell ref="AD2:AF2"/>
    <mergeCell ref="AG2:AI2"/>
    <mergeCell ref="I3:K3"/>
    <mergeCell ref="L3:N3"/>
    <mergeCell ref="O3:Q3"/>
    <mergeCell ref="R3:T3"/>
    <mergeCell ref="U3:W3"/>
    <mergeCell ref="AA3:AC3"/>
    <mergeCell ref="AD3:AF3"/>
    <mergeCell ref="AG3:AI3"/>
    <mergeCell ref="AJ3:AL3"/>
    <mergeCell ref="AM3:AO3"/>
  </mergeCells>
  <conditionalFormatting sqref="I2:N3">
    <cfRule type="expression" dxfId="68" priority="19">
      <formula>AND(YEAR(TODAY()) = YEAR(I$3-1),WEEKNUM(TODAY()) = WEEKNUM(I$3-1))</formula>
    </cfRule>
  </conditionalFormatting>
  <conditionalFormatting sqref="B10:C16 B18:C21">
    <cfRule type="expression" dxfId="67" priority="18">
      <formula>$E10=0</formula>
    </cfRule>
  </conditionalFormatting>
  <conditionalFormatting sqref="F10:H16 F18:H21">
    <cfRule type="expression" dxfId="66" priority="17">
      <formula>F10 = 0</formula>
    </cfRule>
  </conditionalFormatting>
  <conditionalFormatting sqref="K10:K16 N10:N16 N18:N21 K18:K21">
    <cfRule type="expression" dxfId="65" priority="13">
      <formula>(K10=H10)</formula>
    </cfRule>
  </conditionalFormatting>
  <conditionalFormatting sqref="I10:N16 I18:N21">
    <cfRule type="expression" dxfId="64" priority="14">
      <formula>AND(INDEX($I10:K10,FLOOR((COLUMN(I6)-COLUMN($I6)) / 3,1)*3+1) &gt; 0,$A11 &gt; $A10)</formula>
    </cfRule>
    <cfRule type="expression" dxfId="63" priority="15">
      <formula>INDEX($I10:K10,FLOOR((COLUMN(I6)-COLUMN($I6)) / 3,1)*3+1) &gt; 0</formula>
    </cfRule>
    <cfRule type="expression" dxfId="62" priority="16">
      <formula>I10 = 0</formula>
    </cfRule>
  </conditionalFormatting>
  <conditionalFormatting sqref="B17:C17 B9:C9">
    <cfRule type="expression" dxfId="61" priority="12">
      <formula>$E9=0</formula>
    </cfRule>
  </conditionalFormatting>
  <conditionalFormatting sqref="F17:H17 F9:H9">
    <cfRule type="expression" dxfId="60" priority="11">
      <formula>F9 = 0</formula>
    </cfRule>
  </conditionalFormatting>
  <conditionalFormatting sqref="K17 N17 K9 N9">
    <cfRule type="expression" dxfId="59" priority="7">
      <formula>(K9=H9)</formula>
    </cfRule>
  </conditionalFormatting>
  <conditionalFormatting sqref="I17:AO17 I9:AO9">
    <cfRule type="expression" dxfId="58" priority="8">
      <formula>AND(INDEX($I9:K9,FLOOR((COLUMN(I5)-COLUMN($I5)) / 3,1)*3+1) &gt; 0,$A10 &gt; $A9)</formula>
    </cfRule>
    <cfRule type="expression" dxfId="57" priority="9">
      <formula>INDEX($I9:K9,FLOOR((COLUMN(I5)-COLUMN($I5)) / 3,1)*3+1) &gt; 0</formula>
    </cfRule>
    <cfRule type="expression" dxfId="56" priority="10">
      <formula>I9 = 0</formula>
    </cfRule>
  </conditionalFormatting>
  <conditionalFormatting sqref="O2:AO3">
    <cfRule type="expression" dxfId="55" priority="6">
      <formula>AND(YEAR(TODAY()) = YEAR(O$3-1),WEEKNUM(TODAY()) = WEEKNUM(O$3-1))</formula>
    </cfRule>
  </conditionalFormatting>
  <conditionalFormatting sqref="Q10:Q16 T10:T16 W10:W16 Z10:Z16 AC10:AC16 AF10:AF16 AI10:AI16 AL10:AL16 AO10:AO16 Q18:Q21 T18:T21 W18:W21 Z18:Z21 AC18:AC21 AF18:AF21 AI18:AI21 AL18:AL21 AO18:AO21">
    <cfRule type="expression" dxfId="54" priority="2">
      <formula>(Q10=N10)</formula>
    </cfRule>
  </conditionalFormatting>
  <conditionalFormatting sqref="O10:AO16 O18:AO21">
    <cfRule type="expression" dxfId="53" priority="3">
      <formula>AND(INDEX($I10:Q10,FLOOR((COLUMN(O6)-COLUMN($I6)) / 3,1)*3+1) &gt; 0,$A11 &gt; $A10)</formula>
    </cfRule>
    <cfRule type="expression" dxfId="52" priority="4">
      <formula>INDEX($I10:Q10,FLOOR((COLUMN(O6)-COLUMN($I6)) / 3,1)*3+1) &gt; 0</formula>
    </cfRule>
    <cfRule type="expression" dxfId="51" priority="5">
      <formula>O10 = 0</formula>
    </cfRule>
  </conditionalFormatting>
  <conditionalFormatting sqref="Q17 T17 W17 Z17 AC17 AF17 AI17 AL17 AO17 Q9 T9 W9 Z9 AC9 AF9 AI9 AL9 AO9">
    <cfRule type="expression" dxfId="50" priority="1">
      <formula>(Q9=N9)</formula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6A07A-5A9D-4C5E-9A74-40020F1F0A62}">
  <dimension ref="A1:AO22"/>
  <sheetViews>
    <sheetView topLeftCell="B1" workbookViewId="0">
      <selection activeCell="L19" sqref="L19"/>
    </sheetView>
  </sheetViews>
  <sheetFormatPr defaultColWidth="11.5546875" defaultRowHeight="14.4" x14ac:dyDescent="0.3"/>
  <cols>
    <col min="1" max="1" width="2" hidden="1" customWidth="1"/>
    <col min="2" max="2" width="5.109375" bestFit="1" customWidth="1"/>
    <col min="3" max="3" width="34.6640625" bestFit="1" customWidth="1"/>
    <col min="5" max="5" width="5.6640625" hidden="1" customWidth="1"/>
    <col min="8" max="8" width="0" hidden="1" customWidth="1"/>
    <col min="11" max="11" width="0" hidden="1" customWidth="1"/>
    <col min="14" max="14" width="0" hidden="1" customWidth="1"/>
    <col min="17" max="17" width="0" hidden="1" customWidth="1"/>
    <col min="20" max="20" width="0" hidden="1" customWidth="1"/>
    <col min="23" max="23" width="0" hidden="1" customWidth="1"/>
    <col min="26" max="26" width="0" hidden="1" customWidth="1"/>
    <col min="29" max="29" width="0" hidden="1" customWidth="1"/>
    <col min="32" max="32" width="0" hidden="1" customWidth="1"/>
    <col min="35" max="35" width="0" hidden="1" customWidth="1"/>
    <col min="38" max="38" width="0" hidden="1" customWidth="1"/>
    <col min="41" max="41" width="0" hidden="1" customWidth="1"/>
  </cols>
  <sheetData>
    <row r="1" spans="1:41" x14ac:dyDescent="0.3">
      <c r="B1" s="32"/>
    </row>
    <row r="2" spans="1:41" ht="27" x14ac:dyDescent="0.3">
      <c r="B2" s="1" t="s">
        <v>1</v>
      </c>
      <c r="C2" s="2" t="s">
        <v>2</v>
      </c>
      <c r="D2" s="2" t="s">
        <v>3</v>
      </c>
      <c r="E2" s="2"/>
      <c r="F2" s="68" t="s">
        <v>4</v>
      </c>
      <c r="G2" s="68"/>
      <c r="H2" s="69"/>
      <c r="I2" s="67" t="str">
        <f>"Woche " &amp; (COLUMN(I2) - COLUMN($I2)) / 3 + 1</f>
        <v>Woche 1</v>
      </c>
      <c r="J2" s="67"/>
      <c r="K2" s="67"/>
      <c r="L2" s="67" t="str">
        <f t="shared" ref="L2" si="0">"Woche " &amp; (COLUMN(L2) - COLUMN($I2)) / 3 + 1</f>
        <v>Woche 2</v>
      </c>
      <c r="M2" s="67"/>
      <c r="N2" s="67"/>
      <c r="O2" s="67" t="str">
        <f t="shared" ref="O2:AM2" si="1">"Woche " &amp; (COLUMN(O2) - COLUMN($I2)) / 3 + 1</f>
        <v>Woche 3</v>
      </c>
      <c r="P2" s="67"/>
      <c r="Q2" s="67"/>
      <c r="R2" s="67" t="str">
        <f t="shared" si="1"/>
        <v>Woche 4</v>
      </c>
      <c r="S2" s="67"/>
      <c r="T2" s="67"/>
      <c r="U2" s="67" t="str">
        <f t="shared" si="1"/>
        <v>Woche 5</v>
      </c>
      <c r="V2" s="67"/>
      <c r="W2" s="67"/>
      <c r="X2" s="67" t="str">
        <f t="shared" si="1"/>
        <v>Woche 6</v>
      </c>
      <c r="Y2" s="67"/>
      <c r="Z2" s="67"/>
      <c r="AA2" s="67" t="str">
        <f t="shared" si="1"/>
        <v>Woche 7</v>
      </c>
      <c r="AB2" s="67"/>
      <c r="AC2" s="67"/>
      <c r="AD2" s="67" t="str">
        <f t="shared" si="1"/>
        <v>Woche 8</v>
      </c>
      <c r="AE2" s="67"/>
      <c r="AF2" s="67"/>
      <c r="AG2" s="67" t="str">
        <f t="shared" si="1"/>
        <v>Woche 9</v>
      </c>
      <c r="AH2" s="67"/>
      <c r="AI2" s="67"/>
      <c r="AJ2" s="67" t="str">
        <f t="shared" si="1"/>
        <v>Woche 10</v>
      </c>
      <c r="AK2" s="67"/>
      <c r="AL2" s="67"/>
      <c r="AM2" s="67" t="str">
        <f t="shared" si="1"/>
        <v>Woche 11</v>
      </c>
      <c r="AN2" s="67"/>
      <c r="AO2" s="67"/>
    </row>
    <row r="3" spans="1:41" x14ac:dyDescent="0.3">
      <c r="B3" s="1"/>
      <c r="C3" s="2"/>
      <c r="D3" s="2"/>
      <c r="E3" s="2"/>
      <c r="F3" s="3"/>
      <c r="G3" s="3"/>
      <c r="H3" s="4"/>
      <c r="I3" s="66">
        <v>45572</v>
      </c>
      <c r="J3" s="66"/>
      <c r="K3" s="66"/>
      <c r="L3" s="66">
        <f>I3+7</f>
        <v>45579</v>
      </c>
      <c r="M3" s="66"/>
      <c r="N3" s="66"/>
      <c r="O3" s="66">
        <f t="shared" ref="O3" si="2">L3+7</f>
        <v>45586</v>
      </c>
      <c r="P3" s="66"/>
      <c r="Q3" s="66"/>
      <c r="R3" s="66">
        <f t="shared" ref="R3" si="3">O3+7</f>
        <v>45593</v>
      </c>
      <c r="S3" s="66"/>
      <c r="T3" s="66"/>
      <c r="U3" s="66">
        <f t="shared" ref="U3" si="4">R3+7</f>
        <v>45600</v>
      </c>
      <c r="V3" s="66"/>
      <c r="W3" s="66"/>
      <c r="X3" s="66">
        <f t="shared" ref="X3" si="5">U3+7</f>
        <v>45607</v>
      </c>
      <c r="Y3" s="66"/>
      <c r="Z3" s="66"/>
      <c r="AA3" s="66">
        <f t="shared" ref="AA3" si="6">X3+7</f>
        <v>45614</v>
      </c>
      <c r="AB3" s="66"/>
      <c r="AC3" s="66"/>
      <c r="AD3" s="66">
        <f t="shared" ref="AD3" si="7">AA3+7</f>
        <v>45621</v>
      </c>
      <c r="AE3" s="66"/>
      <c r="AF3" s="66"/>
      <c r="AG3" s="66">
        <f t="shared" ref="AG3" si="8">AD3+7</f>
        <v>45628</v>
      </c>
      <c r="AH3" s="66"/>
      <c r="AI3" s="66"/>
      <c r="AJ3" s="66">
        <f t="shared" ref="AJ3" si="9">AG3+7</f>
        <v>45635</v>
      </c>
      <c r="AK3" s="66"/>
      <c r="AL3" s="66"/>
      <c r="AM3" s="66">
        <f t="shared" ref="AM3" si="10">AJ3+7</f>
        <v>45642</v>
      </c>
      <c r="AN3" s="66"/>
      <c r="AO3" s="66"/>
    </row>
    <row r="4" spans="1:41" x14ac:dyDescent="0.3">
      <c r="B4" s="1"/>
      <c r="C4" s="2"/>
      <c r="D4" s="2"/>
      <c r="E4" s="2"/>
      <c r="F4" s="5" t="s">
        <v>5</v>
      </c>
      <c r="G4" s="5" t="s">
        <v>6</v>
      </c>
      <c r="H4" s="6" t="s">
        <v>7</v>
      </c>
      <c r="I4" s="5" t="s">
        <v>5</v>
      </c>
      <c r="J4" s="5" t="s">
        <v>8</v>
      </c>
      <c r="K4" s="5" t="s">
        <v>7</v>
      </c>
      <c r="L4" s="5" t="s">
        <v>5</v>
      </c>
      <c r="M4" s="5" t="s">
        <v>8</v>
      </c>
      <c r="N4" s="5" t="s">
        <v>7</v>
      </c>
      <c r="O4" s="5" t="s">
        <v>5</v>
      </c>
      <c r="P4" s="5" t="s">
        <v>8</v>
      </c>
      <c r="Q4" s="5" t="s">
        <v>7</v>
      </c>
      <c r="R4" s="5" t="s">
        <v>5</v>
      </c>
      <c r="S4" s="5" t="s">
        <v>8</v>
      </c>
      <c r="T4" s="5" t="s">
        <v>7</v>
      </c>
      <c r="U4" s="5" t="s">
        <v>5</v>
      </c>
      <c r="V4" s="5" t="s">
        <v>8</v>
      </c>
      <c r="W4" s="5" t="s">
        <v>7</v>
      </c>
      <c r="X4" s="5" t="s">
        <v>5</v>
      </c>
      <c r="Y4" s="5" t="s">
        <v>8</v>
      </c>
      <c r="Z4" s="5" t="s">
        <v>7</v>
      </c>
      <c r="AA4" s="5" t="s">
        <v>5</v>
      </c>
      <c r="AB4" s="5" t="s">
        <v>8</v>
      </c>
      <c r="AC4" s="5" t="s">
        <v>7</v>
      </c>
      <c r="AD4" s="5" t="s">
        <v>5</v>
      </c>
      <c r="AE4" s="5" t="s">
        <v>8</v>
      </c>
      <c r="AF4" s="5" t="s">
        <v>7</v>
      </c>
      <c r="AG4" s="5" t="s">
        <v>5</v>
      </c>
      <c r="AH4" s="5" t="s">
        <v>8</v>
      </c>
      <c r="AI4" s="5" t="s">
        <v>7</v>
      </c>
      <c r="AJ4" s="5" t="s">
        <v>5</v>
      </c>
      <c r="AK4" s="5" t="s">
        <v>8</v>
      </c>
      <c r="AL4" s="5" t="s">
        <v>7</v>
      </c>
      <c r="AM4" s="5" t="s">
        <v>5</v>
      </c>
      <c r="AN4" s="5" t="s">
        <v>8</v>
      </c>
      <c r="AO4" s="5" t="s">
        <v>7</v>
      </c>
    </row>
    <row r="5" spans="1:41" hidden="1" x14ac:dyDescent="0.3">
      <c r="B5" s="1"/>
      <c r="C5" s="2"/>
      <c r="D5" s="2"/>
      <c r="E5" s="2"/>
      <c r="F5" t="s">
        <v>9</v>
      </c>
      <c r="H5" s="7"/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1</v>
      </c>
      <c r="P5">
        <v>0</v>
      </c>
      <c r="Q5">
        <v>0</v>
      </c>
      <c r="R5">
        <v>1</v>
      </c>
      <c r="S5">
        <v>0</v>
      </c>
      <c r="T5">
        <v>0</v>
      </c>
      <c r="U5">
        <v>1</v>
      </c>
      <c r="V5">
        <v>0</v>
      </c>
      <c r="W5">
        <v>0</v>
      </c>
      <c r="X5">
        <v>1</v>
      </c>
      <c r="Y5">
        <v>0</v>
      </c>
      <c r="Z5">
        <v>0</v>
      </c>
      <c r="AA5">
        <v>1</v>
      </c>
      <c r="AB5">
        <v>0</v>
      </c>
      <c r="AC5">
        <v>0</v>
      </c>
      <c r="AD5">
        <v>1</v>
      </c>
      <c r="AE5">
        <v>0</v>
      </c>
      <c r="AF5">
        <v>0</v>
      </c>
      <c r="AG5">
        <v>1</v>
      </c>
      <c r="AH5">
        <v>0</v>
      </c>
      <c r="AI5">
        <v>0</v>
      </c>
      <c r="AJ5">
        <v>1</v>
      </c>
      <c r="AK5">
        <v>0</v>
      </c>
      <c r="AL5">
        <v>0</v>
      </c>
      <c r="AM5">
        <v>1</v>
      </c>
      <c r="AN5">
        <v>0</v>
      </c>
      <c r="AO5">
        <v>0</v>
      </c>
    </row>
    <row r="6" spans="1:41" hidden="1" x14ac:dyDescent="0.3">
      <c r="B6" s="32"/>
      <c r="F6" t="s">
        <v>10</v>
      </c>
      <c r="H6" s="7"/>
      <c r="I6">
        <v>0</v>
      </c>
      <c r="J6">
        <v>1</v>
      </c>
      <c r="K6">
        <v>0</v>
      </c>
      <c r="L6">
        <v>0</v>
      </c>
      <c r="M6">
        <v>1</v>
      </c>
      <c r="N6">
        <v>0</v>
      </c>
      <c r="O6">
        <v>0</v>
      </c>
      <c r="P6">
        <v>1</v>
      </c>
      <c r="Q6">
        <v>0</v>
      </c>
      <c r="R6">
        <v>0</v>
      </c>
      <c r="S6">
        <v>1</v>
      </c>
      <c r="T6">
        <v>0</v>
      </c>
      <c r="U6">
        <v>0</v>
      </c>
      <c r="V6">
        <v>1</v>
      </c>
      <c r="W6">
        <v>0</v>
      </c>
      <c r="X6">
        <v>0</v>
      </c>
      <c r="Y6">
        <v>1</v>
      </c>
      <c r="Z6">
        <v>0</v>
      </c>
      <c r="AA6">
        <v>0</v>
      </c>
      <c r="AB6">
        <v>1</v>
      </c>
      <c r="AC6">
        <v>0</v>
      </c>
      <c r="AD6">
        <v>0</v>
      </c>
      <c r="AE6">
        <v>1</v>
      </c>
      <c r="AF6">
        <v>0</v>
      </c>
      <c r="AG6">
        <v>0</v>
      </c>
      <c r="AH6">
        <v>1</v>
      </c>
      <c r="AI6">
        <v>0</v>
      </c>
      <c r="AJ6">
        <v>0</v>
      </c>
      <c r="AK6">
        <v>1</v>
      </c>
      <c r="AL6">
        <v>0</v>
      </c>
      <c r="AM6">
        <v>0</v>
      </c>
      <c r="AN6">
        <v>1</v>
      </c>
      <c r="AO6">
        <v>0</v>
      </c>
    </row>
    <row r="7" spans="1:41" x14ac:dyDescent="0.3">
      <c r="B7" s="32"/>
      <c r="F7" s="8"/>
      <c r="G7" s="8"/>
      <c r="H7" s="7" t="s">
        <v>11</v>
      </c>
      <c r="I7" s="9">
        <f>I8</f>
        <v>5.25</v>
      </c>
      <c r="J7" s="9">
        <f>J8</f>
        <v>2</v>
      </c>
      <c r="L7" s="9">
        <f t="shared" ref="L7:M7" si="11">L8+I7</f>
        <v>10.5</v>
      </c>
      <c r="M7" s="9">
        <f t="shared" si="11"/>
        <v>7</v>
      </c>
      <c r="O7" s="9">
        <f t="shared" ref="O7:P7" si="12">O8+L7</f>
        <v>17.75</v>
      </c>
      <c r="P7" s="9">
        <f t="shared" si="12"/>
        <v>7</v>
      </c>
      <c r="R7" s="9">
        <f t="shared" ref="R7:S7" si="13">R8+O7</f>
        <v>25</v>
      </c>
      <c r="S7" s="9">
        <f t="shared" si="13"/>
        <v>7</v>
      </c>
      <c r="U7" s="9">
        <f t="shared" ref="U7:V7" si="14">U8+R7</f>
        <v>32.25</v>
      </c>
      <c r="V7" s="9">
        <f t="shared" si="14"/>
        <v>7</v>
      </c>
      <c r="X7" s="9">
        <f t="shared" ref="X7:Y7" si="15">X8+U7</f>
        <v>39.5</v>
      </c>
      <c r="Y7" s="9">
        <f t="shared" si="15"/>
        <v>7</v>
      </c>
      <c r="AA7" s="9">
        <f t="shared" ref="AA7:AB7" si="16">AA8+X7</f>
        <v>40.75</v>
      </c>
      <c r="AB7" s="9">
        <f t="shared" si="16"/>
        <v>7</v>
      </c>
      <c r="AD7" s="9">
        <f t="shared" ref="AD7:AE7" si="17">AD8+AA7</f>
        <v>42</v>
      </c>
      <c r="AE7" s="9">
        <f t="shared" si="17"/>
        <v>7</v>
      </c>
      <c r="AG7" s="9">
        <f t="shared" ref="AG7:AH7" si="18">AG8+AD7</f>
        <v>47.25</v>
      </c>
      <c r="AH7" s="9">
        <f t="shared" si="18"/>
        <v>7</v>
      </c>
      <c r="AJ7" s="9">
        <f t="shared" ref="AJ7:AK7" si="19">AJ8+AG7</f>
        <v>52.5</v>
      </c>
      <c r="AK7" s="9">
        <f t="shared" si="19"/>
        <v>7</v>
      </c>
      <c r="AM7" s="9">
        <f t="shared" ref="AM7:AN7" si="20">AM8+AJ7</f>
        <v>52.5</v>
      </c>
      <c r="AN7" s="9">
        <f t="shared" si="20"/>
        <v>7</v>
      </c>
    </row>
    <row r="8" spans="1:41" x14ac:dyDescent="0.3">
      <c r="A8">
        <v>1</v>
      </c>
      <c r="B8" s="10" t="s">
        <v>37</v>
      </c>
      <c r="C8" s="11" t="s">
        <v>38</v>
      </c>
      <c r="D8" s="11"/>
      <c r="E8" s="11">
        <f>GANTT!$F$8</f>
        <v>122.5</v>
      </c>
      <c r="F8" s="11">
        <f>SUM(F9,F17)</f>
        <v>52.5</v>
      </c>
      <c r="G8" s="11">
        <f>SUM(G9,G17)</f>
        <v>7</v>
      </c>
      <c r="H8" s="12"/>
      <c r="I8" s="11">
        <f t="shared" ref="I8:J8" si="21">SUM(I9,I17)</f>
        <v>5.25</v>
      </c>
      <c r="J8" s="11">
        <f t="shared" si="21"/>
        <v>2</v>
      </c>
      <c r="K8" s="13"/>
      <c r="L8" s="11">
        <f t="shared" ref="L8:M8" si="22">SUM(L9,L17)</f>
        <v>5.25</v>
      </c>
      <c r="M8" s="11">
        <f t="shared" si="22"/>
        <v>5</v>
      </c>
      <c r="N8" s="13"/>
      <c r="O8" s="11">
        <f t="shared" ref="O8:P8" si="23">SUM(O9,O17)</f>
        <v>7.25</v>
      </c>
      <c r="P8" s="11">
        <f t="shared" si="23"/>
        <v>0</v>
      </c>
      <c r="Q8" s="13"/>
      <c r="R8" s="11">
        <f t="shared" ref="R8:S8" si="24">SUM(R9,R17)</f>
        <v>7.25</v>
      </c>
      <c r="S8" s="11">
        <f t="shared" si="24"/>
        <v>0</v>
      </c>
      <c r="T8" s="13"/>
      <c r="U8" s="11">
        <f t="shared" ref="U8:V8" si="25">SUM(U9,U17)</f>
        <v>7.25</v>
      </c>
      <c r="V8" s="11">
        <f t="shared" si="25"/>
        <v>0</v>
      </c>
      <c r="W8" s="13"/>
      <c r="X8" s="11">
        <f t="shared" ref="X8:Y8" si="26">SUM(X9,X17)</f>
        <v>7.25</v>
      </c>
      <c r="Y8" s="11">
        <f t="shared" si="26"/>
        <v>0</v>
      </c>
      <c r="Z8" s="13"/>
      <c r="AA8" s="11">
        <f t="shared" ref="AA8:AB8" si="27">SUM(AA9,AA17)</f>
        <v>1.25</v>
      </c>
      <c r="AB8" s="11">
        <f t="shared" si="27"/>
        <v>0</v>
      </c>
      <c r="AC8" s="13"/>
      <c r="AD8" s="11">
        <f t="shared" ref="AD8:AE8" si="28">SUM(AD9,AD17)</f>
        <v>1.25</v>
      </c>
      <c r="AE8" s="11">
        <f t="shared" si="28"/>
        <v>0</v>
      </c>
      <c r="AF8" s="13"/>
      <c r="AG8" s="11">
        <f t="shared" ref="AG8:AH8" si="29">SUM(AG9,AG17)</f>
        <v>5.25</v>
      </c>
      <c r="AH8" s="11">
        <f t="shared" si="29"/>
        <v>0</v>
      </c>
      <c r="AI8" s="13"/>
      <c r="AJ8" s="11">
        <f t="shared" ref="AJ8:AK8" si="30">SUM(AJ9,AJ17)</f>
        <v>5.25</v>
      </c>
      <c r="AK8" s="11">
        <f t="shared" si="30"/>
        <v>0</v>
      </c>
      <c r="AL8" s="13"/>
      <c r="AM8" s="11">
        <f t="shared" ref="AM8:AN8" si="31">SUM(AM9,AM17)</f>
        <v>0</v>
      </c>
      <c r="AN8" s="11">
        <f t="shared" si="31"/>
        <v>0</v>
      </c>
      <c r="AO8" s="13"/>
    </row>
    <row r="9" spans="1:41" x14ac:dyDescent="0.3">
      <c r="A9">
        <v>2</v>
      </c>
      <c r="B9" s="14" t="s">
        <v>13</v>
      </c>
      <c r="C9" s="37" t="s">
        <v>39</v>
      </c>
      <c r="D9" s="14"/>
      <c r="E9" s="40">
        <f>GANTT!$F$9</f>
        <v>80.5</v>
      </c>
      <c r="F9" s="16">
        <f>SUM(F10,F11,F12,F13,F14,F15,F16)</f>
        <v>28.5</v>
      </c>
      <c r="G9" s="16">
        <f>SUM(G10,G11,G12,G13,G14,G15,G16)</f>
        <v>7</v>
      </c>
      <c r="H9" s="17"/>
      <c r="I9" s="16">
        <f t="shared" ref="I9:J9" si="32">SUM(I10,I11,I12,I13,I14,I15,I16)</f>
        <v>5.25</v>
      </c>
      <c r="J9" s="16">
        <f t="shared" si="32"/>
        <v>2</v>
      </c>
      <c r="K9" s="18"/>
      <c r="L9" s="16">
        <f t="shared" ref="L9:M9" si="33">SUM(L10,L11,L12,L13,L14,L15,L16)</f>
        <v>5.25</v>
      </c>
      <c r="M9" s="16">
        <f t="shared" si="33"/>
        <v>5</v>
      </c>
      <c r="N9" s="18"/>
      <c r="O9" s="16">
        <f t="shared" ref="O9:P9" si="34">SUM(O10,O11,O12,O13,O14,O15,O16)</f>
        <v>1.25</v>
      </c>
      <c r="P9" s="16">
        <f t="shared" si="34"/>
        <v>0</v>
      </c>
      <c r="Q9" s="18"/>
      <c r="R9" s="16">
        <f t="shared" ref="R9:S9" si="35">SUM(R10,R11,R12,R13,R14,R15,R16)</f>
        <v>1.25</v>
      </c>
      <c r="S9" s="16">
        <f t="shared" si="35"/>
        <v>0</v>
      </c>
      <c r="T9" s="18"/>
      <c r="U9" s="16">
        <f t="shared" ref="U9:V9" si="36">SUM(U10,U11,U12,U13,U14,U15,U16)</f>
        <v>1.25</v>
      </c>
      <c r="V9" s="16">
        <f t="shared" si="36"/>
        <v>0</v>
      </c>
      <c r="W9" s="18"/>
      <c r="X9" s="16">
        <f t="shared" ref="X9:Y9" si="37">SUM(X10,X11,X12,X13,X14,X15,X16)</f>
        <v>1.25</v>
      </c>
      <c r="Y9" s="16">
        <f t="shared" si="37"/>
        <v>0</v>
      </c>
      <c r="Z9" s="18"/>
      <c r="AA9" s="16">
        <f t="shared" ref="AA9:AB9" si="38">SUM(AA10,AA11,AA12,AA13,AA14,AA15,AA16)</f>
        <v>1.25</v>
      </c>
      <c r="AB9" s="16">
        <f t="shared" si="38"/>
        <v>0</v>
      </c>
      <c r="AC9" s="18"/>
      <c r="AD9" s="16">
        <f t="shared" ref="AD9:AE9" si="39">SUM(AD10,AD11,AD12,AD13,AD14,AD15,AD16)</f>
        <v>1.25</v>
      </c>
      <c r="AE9" s="16">
        <f t="shared" si="39"/>
        <v>0</v>
      </c>
      <c r="AF9" s="18"/>
      <c r="AG9" s="16">
        <f t="shared" ref="AG9:AH9" si="40">SUM(AG10,AG11,AG12,AG13,AG14,AG15,AG16)</f>
        <v>5.25</v>
      </c>
      <c r="AH9" s="16">
        <f t="shared" si="40"/>
        <v>0</v>
      </c>
      <c r="AI9" s="18"/>
      <c r="AJ9" s="16">
        <f t="shared" ref="AJ9:AK9" si="41">SUM(AJ10,AJ11,AJ12,AJ13,AJ14,AJ15,AJ16)</f>
        <v>5.25</v>
      </c>
      <c r="AK9" s="16">
        <f t="shared" si="41"/>
        <v>0</v>
      </c>
      <c r="AL9" s="18"/>
      <c r="AM9" s="16">
        <f t="shared" ref="AM9:AN9" si="42">SUM(AM10,AM11,AM12,AM13,AM14,AM15,AM16)</f>
        <v>0</v>
      </c>
      <c r="AN9" s="16">
        <f t="shared" si="42"/>
        <v>0</v>
      </c>
      <c r="AO9" s="18"/>
    </row>
    <row r="10" spans="1:41" x14ac:dyDescent="0.3">
      <c r="A10">
        <v>3</v>
      </c>
      <c r="B10" s="19" t="s">
        <v>15</v>
      </c>
      <c r="C10" s="36" t="s">
        <v>40</v>
      </c>
      <c r="D10" s="19"/>
      <c r="E10" s="42">
        <f>GANTT!$F$10</f>
        <v>24</v>
      </c>
      <c r="F10" s="21">
        <f>SUMPRODUCT(I5:$AO$5, $I$10:$AO$10)</f>
        <v>8</v>
      </c>
      <c r="G10" s="21">
        <f>SUMPRODUCT(I6:$AO$6, $I$10:$AO$10)</f>
        <v>7</v>
      </c>
      <c r="H10" s="22"/>
      <c r="I10" s="21">
        <v>4</v>
      </c>
      <c r="J10" s="21">
        <v>2</v>
      </c>
      <c r="K10" s="23"/>
      <c r="L10" s="21">
        <v>4</v>
      </c>
      <c r="M10" s="21">
        <v>5</v>
      </c>
      <c r="N10" s="23"/>
      <c r="O10" s="21"/>
      <c r="P10" s="21"/>
      <c r="Q10" s="23"/>
      <c r="R10" s="21"/>
      <c r="S10" s="21"/>
      <c r="T10" s="23"/>
      <c r="U10" s="21"/>
      <c r="V10" s="21"/>
      <c r="W10" s="23"/>
      <c r="X10" s="21"/>
      <c r="Y10" s="21"/>
      <c r="Z10" s="23"/>
      <c r="AA10" s="21"/>
      <c r="AB10" s="21"/>
      <c r="AC10" s="23"/>
      <c r="AD10" s="21"/>
      <c r="AE10" s="21"/>
      <c r="AF10" s="23"/>
      <c r="AG10" s="21"/>
      <c r="AH10" s="21"/>
      <c r="AI10" s="23"/>
      <c r="AJ10" s="21"/>
      <c r="AK10" s="21"/>
      <c r="AL10" s="23"/>
      <c r="AM10" s="21"/>
      <c r="AN10" s="21"/>
      <c r="AO10" s="23"/>
    </row>
    <row r="11" spans="1:41" x14ac:dyDescent="0.3">
      <c r="A11">
        <v>3</v>
      </c>
      <c r="B11" s="19" t="s">
        <v>17</v>
      </c>
      <c r="C11" s="36" t="s">
        <v>41</v>
      </c>
      <c r="D11" s="19"/>
      <c r="E11" s="42">
        <f>GANTT!$F$11</f>
        <v>0</v>
      </c>
      <c r="F11" s="21">
        <f>SUMPRODUCT(I5:$AO$5, $I$11:$AO$11)</f>
        <v>0</v>
      </c>
      <c r="G11" s="21">
        <f>SUMPRODUCT(I6:$AO$6, $I$11:$AO$11)</f>
        <v>0</v>
      </c>
      <c r="H11" s="22"/>
      <c r="I11" s="21"/>
      <c r="J11" s="21"/>
      <c r="K11" s="23"/>
      <c r="L11" s="21"/>
      <c r="M11" s="21"/>
      <c r="N11" s="23"/>
      <c r="O11" s="21"/>
      <c r="P11" s="21"/>
      <c r="Q11" s="23"/>
      <c r="R11" s="21"/>
      <c r="S11" s="21"/>
      <c r="T11" s="23"/>
      <c r="U11" s="21"/>
      <c r="V11" s="21"/>
      <c r="W11" s="23"/>
      <c r="X11" s="21"/>
      <c r="Y11" s="21"/>
      <c r="Z11" s="23"/>
      <c r="AA11" s="21"/>
      <c r="AB11" s="21"/>
      <c r="AC11" s="23"/>
      <c r="AD11" s="21"/>
      <c r="AE11" s="21"/>
      <c r="AF11" s="23"/>
      <c r="AG11" s="21"/>
      <c r="AH11" s="21"/>
      <c r="AI11" s="23"/>
      <c r="AJ11" s="21"/>
      <c r="AK11" s="21"/>
      <c r="AL11" s="23"/>
      <c r="AM11" s="21"/>
      <c r="AN11" s="21"/>
      <c r="AO11" s="23"/>
    </row>
    <row r="12" spans="1:41" x14ac:dyDescent="0.3">
      <c r="A12">
        <v>3</v>
      </c>
      <c r="B12" s="19" t="s">
        <v>19</v>
      </c>
      <c r="C12" s="36" t="s">
        <v>42</v>
      </c>
      <c r="D12" s="19"/>
      <c r="E12" s="42">
        <f>GANTT!$F$12</f>
        <v>7.5</v>
      </c>
      <c r="F12" s="21">
        <f>SUMPRODUCT(I5:$AO$5, $I$12:$AO$12)</f>
        <v>2.5</v>
      </c>
      <c r="G12" s="21">
        <f>SUMPRODUCT(I6:$AO$6, $I$12:$AO$12)</f>
        <v>0</v>
      </c>
      <c r="H12" s="22"/>
      <c r="I12" s="21">
        <v>0.25</v>
      </c>
      <c r="J12" s="21"/>
      <c r="K12" s="23"/>
      <c r="L12" s="21">
        <v>0.25</v>
      </c>
      <c r="M12" s="21"/>
      <c r="N12" s="23"/>
      <c r="O12" s="21">
        <v>0.25</v>
      </c>
      <c r="P12" s="21"/>
      <c r="Q12" s="23"/>
      <c r="R12" s="21">
        <v>0.25</v>
      </c>
      <c r="S12" s="21"/>
      <c r="T12" s="23"/>
      <c r="U12" s="21">
        <v>0.25</v>
      </c>
      <c r="V12" s="21"/>
      <c r="W12" s="23"/>
      <c r="X12" s="21">
        <v>0.25</v>
      </c>
      <c r="Y12" s="21"/>
      <c r="Z12" s="23"/>
      <c r="AA12" s="21">
        <v>0.25</v>
      </c>
      <c r="AB12" s="21"/>
      <c r="AC12" s="23"/>
      <c r="AD12" s="21">
        <v>0.25</v>
      </c>
      <c r="AE12" s="21"/>
      <c r="AF12" s="23"/>
      <c r="AG12" s="21">
        <v>0.25</v>
      </c>
      <c r="AH12" s="21"/>
      <c r="AI12" s="23"/>
      <c r="AJ12" s="21">
        <v>0.25</v>
      </c>
      <c r="AK12" s="21"/>
      <c r="AL12" s="23"/>
      <c r="AM12" s="21"/>
      <c r="AN12" s="21"/>
      <c r="AO12" s="23"/>
    </row>
    <row r="13" spans="1:41" x14ac:dyDescent="0.3">
      <c r="A13">
        <v>3</v>
      </c>
      <c r="B13" s="19" t="s">
        <v>43</v>
      </c>
      <c r="C13" s="36" t="s">
        <v>44</v>
      </c>
      <c r="D13" s="19"/>
      <c r="E13" s="42">
        <f>GANTT!$F$13</f>
        <v>15</v>
      </c>
      <c r="F13" s="21">
        <f>SUMPRODUCT(I5:$AO$5, $I$13:$AO$13)</f>
        <v>5</v>
      </c>
      <c r="G13" s="21">
        <f>SUMPRODUCT(I6:$AO$6, $I$13:$AO$13)</f>
        <v>0</v>
      </c>
      <c r="H13" s="22"/>
      <c r="I13" s="21">
        <v>0.5</v>
      </c>
      <c r="J13" s="21"/>
      <c r="K13" s="23"/>
      <c r="L13" s="21">
        <v>0.5</v>
      </c>
      <c r="M13" s="21"/>
      <c r="N13" s="23"/>
      <c r="O13" s="21">
        <v>0.5</v>
      </c>
      <c r="P13" s="21"/>
      <c r="Q13" s="23"/>
      <c r="R13" s="21">
        <v>0.5</v>
      </c>
      <c r="S13" s="21"/>
      <c r="T13" s="23"/>
      <c r="U13" s="21">
        <v>0.5</v>
      </c>
      <c r="V13" s="21"/>
      <c r="W13" s="23"/>
      <c r="X13" s="21">
        <v>0.5</v>
      </c>
      <c r="Y13" s="21"/>
      <c r="Z13" s="23"/>
      <c r="AA13" s="21">
        <v>0.5</v>
      </c>
      <c r="AB13" s="21"/>
      <c r="AC13" s="23"/>
      <c r="AD13" s="21">
        <v>0.5</v>
      </c>
      <c r="AE13" s="21"/>
      <c r="AF13" s="23"/>
      <c r="AG13" s="21">
        <v>0.5</v>
      </c>
      <c r="AH13" s="21"/>
      <c r="AI13" s="23"/>
      <c r="AJ13" s="21">
        <v>0.5</v>
      </c>
      <c r="AK13" s="21"/>
      <c r="AL13" s="23"/>
      <c r="AM13" s="21"/>
      <c r="AN13" s="21"/>
      <c r="AO13" s="23"/>
    </row>
    <row r="14" spans="1:41" x14ac:dyDescent="0.3">
      <c r="A14">
        <v>3</v>
      </c>
      <c r="B14" s="19" t="s">
        <v>45</v>
      </c>
      <c r="C14" s="36" t="s">
        <v>46</v>
      </c>
      <c r="D14" s="19"/>
      <c r="E14" s="42">
        <f>GANTT!$F$14</f>
        <v>10</v>
      </c>
      <c r="F14" s="21">
        <f>SUMPRODUCT(I5:$AO$5, $I$14:$AO$14)</f>
        <v>5</v>
      </c>
      <c r="G14" s="21">
        <f>SUMPRODUCT(I6:$AO$6, $I$14:$AO$14)</f>
        <v>0</v>
      </c>
      <c r="H14" s="22"/>
      <c r="I14" s="21">
        <v>0.5</v>
      </c>
      <c r="J14" s="21"/>
      <c r="K14" s="23"/>
      <c r="L14" s="21">
        <v>0.5</v>
      </c>
      <c r="M14" s="21"/>
      <c r="N14" s="23"/>
      <c r="O14" s="21">
        <v>0.5</v>
      </c>
      <c r="P14" s="21"/>
      <c r="Q14" s="23"/>
      <c r="R14" s="21">
        <v>0.5</v>
      </c>
      <c r="S14" s="21"/>
      <c r="T14" s="23"/>
      <c r="U14" s="21">
        <v>0.5</v>
      </c>
      <c r="V14" s="21"/>
      <c r="W14" s="23"/>
      <c r="X14" s="21">
        <v>0.5</v>
      </c>
      <c r="Y14" s="21"/>
      <c r="Z14" s="23"/>
      <c r="AA14" s="21">
        <v>0.5</v>
      </c>
      <c r="AB14" s="21"/>
      <c r="AC14" s="23"/>
      <c r="AD14" s="21">
        <v>0.5</v>
      </c>
      <c r="AE14" s="21"/>
      <c r="AF14" s="23"/>
      <c r="AG14" s="21">
        <v>0.5</v>
      </c>
      <c r="AH14" s="21"/>
      <c r="AI14" s="23"/>
      <c r="AJ14" s="21">
        <v>0.5</v>
      </c>
      <c r="AK14" s="21"/>
      <c r="AL14" s="23"/>
      <c r="AM14" s="21"/>
      <c r="AN14" s="21"/>
      <c r="AO14" s="23"/>
    </row>
    <row r="15" spans="1:41" x14ac:dyDescent="0.3">
      <c r="A15">
        <v>3</v>
      </c>
      <c r="B15" s="19" t="s">
        <v>47</v>
      </c>
      <c r="C15" s="36" t="s">
        <v>48</v>
      </c>
      <c r="D15" s="19"/>
      <c r="E15" s="42">
        <f>GANTT!$F$15</f>
        <v>24</v>
      </c>
      <c r="F15" s="21">
        <f>SUMPRODUCT(I5:$AO$5, $I$15:$AO$15)</f>
        <v>8</v>
      </c>
      <c r="G15" s="21">
        <f>SUMPRODUCT(I6:$AO$6, $I$15:$AO$15)</f>
        <v>0</v>
      </c>
      <c r="H15" s="22"/>
      <c r="I15" s="21"/>
      <c r="J15" s="21"/>
      <c r="K15" s="23"/>
      <c r="L15" s="21"/>
      <c r="M15" s="21"/>
      <c r="N15" s="23"/>
      <c r="O15" s="21"/>
      <c r="P15" s="21"/>
      <c r="Q15" s="23"/>
      <c r="R15" s="21"/>
      <c r="S15" s="21"/>
      <c r="T15" s="23"/>
      <c r="U15" s="21"/>
      <c r="V15" s="21"/>
      <c r="W15" s="23"/>
      <c r="X15" s="21"/>
      <c r="Y15" s="21"/>
      <c r="Z15" s="23"/>
      <c r="AA15" s="21"/>
      <c r="AB15" s="21"/>
      <c r="AC15" s="23"/>
      <c r="AD15" s="21"/>
      <c r="AE15" s="21"/>
      <c r="AF15" s="23"/>
      <c r="AG15" s="21">
        <v>4</v>
      </c>
      <c r="AH15" s="21"/>
      <c r="AI15" s="23"/>
      <c r="AJ15" s="21">
        <v>4</v>
      </c>
      <c r="AK15" s="21"/>
      <c r="AL15" s="23"/>
      <c r="AM15" s="21"/>
      <c r="AN15" s="21"/>
      <c r="AO15" s="23"/>
    </row>
    <row r="16" spans="1:41" x14ac:dyDescent="0.3">
      <c r="A16">
        <v>3</v>
      </c>
      <c r="B16" s="19" t="s">
        <v>49</v>
      </c>
      <c r="C16" s="36" t="s">
        <v>50</v>
      </c>
      <c r="D16" s="19"/>
      <c r="E16" s="42">
        <f>GANTT!$F$16</f>
        <v>0</v>
      </c>
      <c r="F16" s="21">
        <f>SUMPRODUCT(I5:$AO$5, $I$16:$AO$16)</f>
        <v>0</v>
      </c>
      <c r="G16" s="21">
        <f>SUMPRODUCT(I6:$AO$6, $I$16:$AO$16)</f>
        <v>0</v>
      </c>
      <c r="H16" s="22"/>
      <c r="I16" s="21"/>
      <c r="J16" s="21"/>
      <c r="K16" s="23"/>
      <c r="L16" s="21"/>
      <c r="M16" s="21"/>
      <c r="N16" s="23"/>
      <c r="O16" s="21"/>
      <c r="P16" s="21"/>
      <c r="Q16" s="23"/>
      <c r="R16" s="21"/>
      <c r="S16" s="21"/>
      <c r="T16" s="23"/>
      <c r="U16" s="21"/>
      <c r="V16" s="21"/>
      <c r="W16" s="23"/>
      <c r="X16" s="21"/>
      <c r="Y16" s="21"/>
      <c r="Z16" s="23"/>
      <c r="AA16" s="21"/>
      <c r="AB16" s="21"/>
      <c r="AC16" s="23"/>
      <c r="AD16" s="21"/>
      <c r="AE16" s="21"/>
      <c r="AF16" s="23"/>
      <c r="AG16" s="21"/>
      <c r="AH16" s="21"/>
      <c r="AI16" s="23"/>
      <c r="AJ16" s="21"/>
      <c r="AK16" s="21"/>
      <c r="AL16" s="23"/>
      <c r="AM16" s="21"/>
      <c r="AN16" s="21"/>
      <c r="AO16" s="23"/>
    </row>
    <row r="17" spans="1:41" x14ac:dyDescent="0.3">
      <c r="A17">
        <v>2</v>
      </c>
      <c r="B17" s="14" t="s">
        <v>51</v>
      </c>
      <c r="C17" s="37" t="s">
        <v>52</v>
      </c>
      <c r="D17" s="14"/>
      <c r="E17" s="40">
        <f>GANTT!$F$17</f>
        <v>42</v>
      </c>
      <c r="F17" s="16">
        <f>SUM(F18,F19,F20,F21)</f>
        <v>24</v>
      </c>
      <c r="G17" s="16">
        <f>SUM(G18,G19,G20,G21)</f>
        <v>0</v>
      </c>
      <c r="H17" s="17"/>
      <c r="I17" s="16">
        <f t="shared" ref="I17:J17" si="43">SUM(I18,I19,I20,I21)</f>
        <v>0</v>
      </c>
      <c r="J17" s="16">
        <f t="shared" si="43"/>
        <v>0</v>
      </c>
      <c r="K17" s="18"/>
      <c r="L17" s="16">
        <f t="shared" ref="L17:M17" si="44">SUM(L18,L19,L20,L21)</f>
        <v>0</v>
      </c>
      <c r="M17" s="16">
        <f t="shared" si="44"/>
        <v>0</v>
      </c>
      <c r="N17" s="18"/>
      <c r="O17" s="16">
        <f t="shared" ref="O17:P17" si="45">SUM(O18,O19,O20,O21)</f>
        <v>6</v>
      </c>
      <c r="P17" s="16">
        <f t="shared" si="45"/>
        <v>0</v>
      </c>
      <c r="Q17" s="18"/>
      <c r="R17" s="16">
        <f t="shared" ref="R17:S17" si="46">SUM(R18,R19,R20,R21)</f>
        <v>6</v>
      </c>
      <c r="S17" s="16">
        <f t="shared" si="46"/>
        <v>0</v>
      </c>
      <c r="T17" s="18"/>
      <c r="U17" s="16">
        <f t="shared" ref="U17:V17" si="47">SUM(U18,U19,U20,U21)</f>
        <v>6</v>
      </c>
      <c r="V17" s="16">
        <f t="shared" si="47"/>
        <v>0</v>
      </c>
      <c r="W17" s="18"/>
      <c r="X17" s="16">
        <f t="shared" ref="X17:Y17" si="48">SUM(X18,X19,X20,X21)</f>
        <v>6</v>
      </c>
      <c r="Y17" s="16">
        <f t="shared" si="48"/>
        <v>0</v>
      </c>
      <c r="Z17" s="18"/>
      <c r="AA17" s="16">
        <f t="shared" ref="AA17:AB17" si="49">SUM(AA18,AA19,AA20,AA21)</f>
        <v>0</v>
      </c>
      <c r="AB17" s="16">
        <f t="shared" si="49"/>
        <v>0</v>
      </c>
      <c r="AC17" s="18"/>
      <c r="AD17" s="16">
        <f t="shared" ref="AD17:AE17" si="50">SUM(AD18,AD19,AD20,AD21)</f>
        <v>0</v>
      </c>
      <c r="AE17" s="16">
        <f t="shared" si="50"/>
        <v>0</v>
      </c>
      <c r="AF17" s="18"/>
      <c r="AG17" s="16">
        <f t="shared" ref="AG17:AH17" si="51">SUM(AG18,AG19,AG20,AG21)</f>
        <v>0</v>
      </c>
      <c r="AH17" s="16">
        <f t="shared" si="51"/>
        <v>0</v>
      </c>
      <c r="AI17" s="18"/>
      <c r="AJ17" s="16">
        <f t="shared" ref="AJ17:AK17" si="52">SUM(AJ18,AJ19,AJ20,AJ21)</f>
        <v>0</v>
      </c>
      <c r="AK17" s="16">
        <f t="shared" si="52"/>
        <v>0</v>
      </c>
      <c r="AL17" s="18"/>
      <c r="AM17" s="16">
        <f t="shared" ref="AM17:AN17" si="53">SUM(AM18,AM19,AM20,AM21)</f>
        <v>0</v>
      </c>
      <c r="AN17" s="16">
        <f t="shared" si="53"/>
        <v>0</v>
      </c>
      <c r="AO17" s="18"/>
    </row>
    <row r="18" spans="1:41" x14ac:dyDescent="0.3">
      <c r="A18">
        <v>3</v>
      </c>
      <c r="B18" s="19" t="s">
        <v>53</v>
      </c>
      <c r="C18" s="36" t="s">
        <v>54</v>
      </c>
      <c r="D18" s="19"/>
      <c r="E18" s="42">
        <f>GANTT!$F$18</f>
        <v>12</v>
      </c>
      <c r="F18" s="21">
        <f>SUMPRODUCT(I5:$AO$5, $I$18:$AO$18)</f>
        <v>0</v>
      </c>
      <c r="G18" s="21">
        <f>SUMPRODUCT(I6:$AO$6, $I$18:$AO$18)</f>
        <v>0</v>
      </c>
      <c r="H18" s="22"/>
      <c r="I18" s="21"/>
      <c r="J18" s="21"/>
      <c r="K18" s="23"/>
      <c r="L18" s="21"/>
      <c r="M18" s="21"/>
      <c r="N18" s="23"/>
      <c r="O18" s="21"/>
      <c r="P18" s="21"/>
      <c r="Q18" s="23"/>
      <c r="R18" s="21"/>
      <c r="S18" s="21"/>
      <c r="T18" s="23"/>
      <c r="U18" s="21"/>
      <c r="V18" s="21"/>
      <c r="W18" s="23"/>
      <c r="X18" s="21"/>
      <c r="Y18" s="21"/>
      <c r="Z18" s="23"/>
      <c r="AA18" s="21"/>
      <c r="AB18" s="21"/>
      <c r="AC18" s="23"/>
      <c r="AD18" s="21"/>
      <c r="AE18" s="21"/>
      <c r="AF18" s="23"/>
      <c r="AG18" s="21"/>
      <c r="AH18" s="21"/>
      <c r="AI18" s="23"/>
      <c r="AJ18" s="21"/>
      <c r="AK18" s="21"/>
      <c r="AL18" s="23"/>
      <c r="AM18" s="21"/>
      <c r="AN18" s="21"/>
      <c r="AO18" s="23"/>
    </row>
    <row r="19" spans="1:41" x14ac:dyDescent="0.3">
      <c r="A19">
        <v>3</v>
      </c>
      <c r="B19" s="19" t="s">
        <v>55</v>
      </c>
      <c r="C19" s="36" t="s">
        <v>56</v>
      </c>
      <c r="D19" s="19"/>
      <c r="E19" s="42">
        <f>GANTT!$F$19</f>
        <v>6</v>
      </c>
      <c r="F19" s="21">
        <f>SUMPRODUCT(I5:$AO$5, $I$19:$AO$19)</f>
        <v>0</v>
      </c>
      <c r="G19" s="21">
        <f>SUMPRODUCT(I6:$AO$6, $I$19:$AO$19)</f>
        <v>0</v>
      </c>
      <c r="H19" s="22"/>
      <c r="I19" s="21"/>
      <c r="J19" s="21"/>
      <c r="K19" s="23"/>
      <c r="L19" s="21"/>
      <c r="M19" s="21"/>
      <c r="N19" s="23"/>
      <c r="O19" s="21"/>
      <c r="P19" s="21"/>
      <c r="Q19" s="23"/>
      <c r="R19" s="21"/>
      <c r="S19" s="21"/>
      <c r="T19" s="23"/>
      <c r="U19" s="21"/>
      <c r="V19" s="21"/>
      <c r="W19" s="23"/>
      <c r="X19" s="21"/>
      <c r="Y19" s="21"/>
      <c r="Z19" s="23"/>
      <c r="AA19" s="21"/>
      <c r="AB19" s="21"/>
      <c r="AC19" s="23"/>
      <c r="AD19" s="21"/>
      <c r="AE19" s="21"/>
      <c r="AF19" s="23"/>
      <c r="AG19" s="21"/>
      <c r="AH19" s="21"/>
      <c r="AI19" s="23"/>
      <c r="AJ19" s="21"/>
      <c r="AK19" s="21"/>
      <c r="AL19" s="23"/>
      <c r="AM19" s="21"/>
      <c r="AN19" s="21"/>
      <c r="AO19" s="23"/>
    </row>
    <row r="20" spans="1:41" x14ac:dyDescent="0.3">
      <c r="A20">
        <v>3</v>
      </c>
      <c r="B20" s="19" t="s">
        <v>57</v>
      </c>
      <c r="C20" s="36" t="s">
        <v>58</v>
      </c>
      <c r="D20" s="19"/>
      <c r="E20" s="42">
        <f>GANTT!$F$20</f>
        <v>24</v>
      </c>
      <c r="F20" s="21">
        <f>SUMPRODUCT(I5:$AO$5, $I$20:$AO$20)</f>
        <v>24</v>
      </c>
      <c r="G20" s="21">
        <f>SUMPRODUCT(I6:$AO$6, $I$20:$AO$20)</f>
        <v>0</v>
      </c>
      <c r="H20" s="22"/>
      <c r="I20" s="21"/>
      <c r="J20" s="21"/>
      <c r="K20" s="23"/>
      <c r="L20" s="21"/>
      <c r="M20" s="21"/>
      <c r="N20" s="23"/>
      <c r="O20" s="21">
        <v>6</v>
      </c>
      <c r="P20" s="21"/>
      <c r="Q20" s="23"/>
      <c r="R20" s="21">
        <v>6</v>
      </c>
      <c r="S20" s="21"/>
      <c r="T20" s="23"/>
      <c r="U20" s="21">
        <v>6</v>
      </c>
      <c r="V20" s="21"/>
      <c r="W20" s="23"/>
      <c r="X20" s="21">
        <v>6</v>
      </c>
      <c r="Y20" s="21"/>
      <c r="Z20" s="23"/>
      <c r="AA20" s="21"/>
      <c r="AB20" s="21"/>
      <c r="AC20" s="23"/>
      <c r="AD20" s="21"/>
      <c r="AE20" s="21"/>
      <c r="AF20" s="23"/>
      <c r="AG20" s="21"/>
      <c r="AH20" s="21"/>
      <c r="AI20" s="23"/>
      <c r="AJ20" s="21"/>
      <c r="AK20" s="21"/>
      <c r="AL20" s="23"/>
      <c r="AM20" s="21"/>
      <c r="AN20" s="21"/>
      <c r="AO20" s="23"/>
    </row>
    <row r="21" spans="1:41" x14ac:dyDescent="0.3">
      <c r="A21">
        <v>3</v>
      </c>
      <c r="B21" s="19" t="s">
        <v>59</v>
      </c>
      <c r="C21" s="36" t="s">
        <v>60</v>
      </c>
      <c r="D21" s="19"/>
      <c r="E21" s="42">
        <f>GANTT!$F$21</f>
        <v>0</v>
      </c>
      <c r="F21" s="21">
        <f>SUMPRODUCT(I5:$AO$5, $I$21:$AO$21)</f>
        <v>0</v>
      </c>
      <c r="G21" s="21">
        <f>SUMPRODUCT(I6:$AO$6, $I$21:$AO$21)</f>
        <v>0</v>
      </c>
      <c r="H21" s="22"/>
      <c r="I21" s="21"/>
      <c r="J21" s="21"/>
      <c r="K21" s="23"/>
      <c r="L21" s="21"/>
      <c r="M21" s="21"/>
      <c r="N21" s="23"/>
      <c r="O21" s="21"/>
      <c r="P21" s="21"/>
      <c r="Q21" s="23"/>
      <c r="R21" s="21"/>
      <c r="S21" s="21"/>
      <c r="T21" s="23"/>
      <c r="U21" s="21"/>
      <c r="V21" s="21"/>
      <c r="W21" s="23"/>
      <c r="X21" s="21"/>
      <c r="Y21" s="21"/>
      <c r="Z21" s="23"/>
      <c r="AA21" s="21"/>
      <c r="AB21" s="21"/>
      <c r="AC21" s="23"/>
      <c r="AD21" s="21"/>
      <c r="AE21" s="21"/>
      <c r="AF21" s="23"/>
      <c r="AG21" s="21"/>
      <c r="AH21" s="21"/>
      <c r="AI21" s="23"/>
      <c r="AJ21" s="21"/>
      <c r="AK21" s="21"/>
      <c r="AL21" s="23"/>
      <c r="AM21" s="21"/>
      <c r="AN21" s="21"/>
      <c r="AO21" s="23"/>
    </row>
    <row r="22" spans="1:41" x14ac:dyDescent="0.3">
      <c r="E22">
        <f>GANTT!$F$22</f>
        <v>0</v>
      </c>
    </row>
  </sheetData>
  <mergeCells count="23">
    <mergeCell ref="AJ2:AL2"/>
    <mergeCell ref="AM2:AO2"/>
    <mergeCell ref="F2:H2"/>
    <mergeCell ref="I2:K2"/>
    <mergeCell ref="L2:N2"/>
    <mergeCell ref="O2:Q2"/>
    <mergeCell ref="R2:T2"/>
    <mergeCell ref="U2:W2"/>
    <mergeCell ref="X3:Z3"/>
    <mergeCell ref="X2:Z2"/>
    <mergeCell ref="AA2:AC2"/>
    <mergeCell ref="AD2:AF2"/>
    <mergeCell ref="AG2:AI2"/>
    <mergeCell ref="I3:K3"/>
    <mergeCell ref="L3:N3"/>
    <mergeCell ref="O3:Q3"/>
    <mergeCell ref="R3:T3"/>
    <mergeCell ref="U3:W3"/>
    <mergeCell ref="AA3:AC3"/>
    <mergeCell ref="AD3:AF3"/>
    <mergeCell ref="AG3:AI3"/>
    <mergeCell ref="AJ3:AL3"/>
    <mergeCell ref="AM3:AO3"/>
  </mergeCells>
  <conditionalFormatting sqref="I2:N3">
    <cfRule type="expression" dxfId="49" priority="19">
      <formula>AND(YEAR(TODAY()) = YEAR(I$3-1),WEEKNUM(TODAY()) = WEEKNUM(I$3-1))</formula>
    </cfRule>
  </conditionalFormatting>
  <conditionalFormatting sqref="B10:C16 B18:C21">
    <cfRule type="expression" dxfId="48" priority="18">
      <formula>$E10=0</formula>
    </cfRule>
  </conditionalFormatting>
  <conditionalFormatting sqref="F10:H16 F18:H21">
    <cfRule type="expression" dxfId="47" priority="17">
      <formula>F10 = 0</formula>
    </cfRule>
  </conditionalFormatting>
  <conditionalFormatting sqref="K10:K16 N10:N16 N18:N21 K18:K21">
    <cfRule type="expression" dxfId="46" priority="13">
      <formula>(K10=H10)</formula>
    </cfRule>
  </conditionalFormatting>
  <conditionalFormatting sqref="I10:N16 I18:N21">
    <cfRule type="expression" dxfId="45" priority="14">
      <formula>AND(INDEX($I10:K10,FLOOR((COLUMN(I6)-COLUMN($I6)) / 3,1)*3+1) &gt; 0,$A11 &gt; $A10)</formula>
    </cfRule>
    <cfRule type="expression" dxfId="44" priority="15">
      <formula>INDEX($I10:K10,FLOOR((COLUMN(I6)-COLUMN($I6)) / 3,1)*3+1) &gt; 0</formula>
    </cfRule>
    <cfRule type="expression" dxfId="43" priority="16">
      <formula>I10 = 0</formula>
    </cfRule>
  </conditionalFormatting>
  <conditionalFormatting sqref="B17:C17 B9:C9">
    <cfRule type="expression" dxfId="42" priority="12">
      <formula>$E9=0</formula>
    </cfRule>
  </conditionalFormatting>
  <conditionalFormatting sqref="F17:H17 F9:H9">
    <cfRule type="expression" dxfId="41" priority="11">
      <formula>F9 = 0</formula>
    </cfRule>
  </conditionalFormatting>
  <conditionalFormatting sqref="K17 N17 K9 N9">
    <cfRule type="expression" dxfId="40" priority="7">
      <formula>(K9=H9)</formula>
    </cfRule>
  </conditionalFormatting>
  <conditionalFormatting sqref="I17:AO17 I9:AO9">
    <cfRule type="expression" dxfId="39" priority="8">
      <formula>AND(INDEX($I9:K9,FLOOR((COLUMN(I5)-COLUMN($I5)) / 3,1)*3+1) &gt; 0,$A10 &gt; $A9)</formula>
    </cfRule>
    <cfRule type="expression" dxfId="38" priority="9">
      <formula>INDEX($I9:K9,FLOOR((COLUMN(I5)-COLUMN($I5)) / 3,1)*3+1) &gt; 0</formula>
    </cfRule>
    <cfRule type="expression" dxfId="37" priority="10">
      <formula>I9 = 0</formula>
    </cfRule>
  </conditionalFormatting>
  <conditionalFormatting sqref="O2:AO3">
    <cfRule type="expression" dxfId="36" priority="6">
      <formula>AND(YEAR(TODAY()) = YEAR(O$3-1),WEEKNUM(TODAY()) = WEEKNUM(O$3-1))</formula>
    </cfRule>
  </conditionalFormatting>
  <conditionalFormatting sqref="Q10:Q16 T10:T16 W10:W16 Z10:Z16 AC10:AC16 AF10:AF16 AI10:AI16 AL10:AL16 AO10:AO16 Q18:Q21 T18:T21 W18:W21 Z18:Z21 AC18:AC21 AF18:AF21 AI18:AI21 AL18:AL21 AO18:AO21">
    <cfRule type="expression" dxfId="35" priority="2">
      <formula>(Q10=N10)</formula>
    </cfRule>
  </conditionalFormatting>
  <conditionalFormatting sqref="O10:AO16 O18:AO21">
    <cfRule type="expression" dxfId="34" priority="3">
      <formula>AND(INDEX($I10:Q10,FLOOR((COLUMN(O6)-COLUMN($I6)) / 3,1)*3+1) &gt; 0,$A11 &gt; $A10)</formula>
    </cfRule>
    <cfRule type="expression" dxfId="33" priority="4">
      <formula>INDEX($I10:Q10,FLOOR((COLUMN(O6)-COLUMN($I6)) / 3,1)*3+1) &gt; 0</formula>
    </cfRule>
    <cfRule type="expression" dxfId="32" priority="5">
      <formula>O10 = 0</formula>
    </cfRule>
  </conditionalFormatting>
  <conditionalFormatting sqref="Q17 T17 W17 Z17 AC17 AF17 AI17 AL17 AO17 Q9 T9 W9 Z9 AC9 AF9 AI9 AL9 AO9">
    <cfRule type="expression" dxfId="31" priority="1">
      <formula>(Q9=N9)</formula>
    </cfRule>
  </conditionalFormatting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79DF8-5F8B-4813-8422-FC9B0B74FF14}">
  <dimension ref="A1:L22"/>
  <sheetViews>
    <sheetView topLeftCell="B1" workbookViewId="0">
      <selection activeCell="H9" sqref="H9:H22"/>
    </sheetView>
  </sheetViews>
  <sheetFormatPr defaultColWidth="11.5546875" defaultRowHeight="14.4" x14ac:dyDescent="0.3"/>
  <cols>
    <col min="1" max="1" width="2" bestFit="1" customWidth="1"/>
    <col min="2" max="2" width="5.109375" bestFit="1" customWidth="1"/>
    <col min="3" max="3" width="34.6640625" bestFit="1" customWidth="1"/>
    <col min="5" max="5" width="0" hidden="1" customWidth="1"/>
    <col min="6" max="12" width="11.44140625"/>
  </cols>
  <sheetData>
    <row r="1" spans="1:12" x14ac:dyDescent="0.3">
      <c r="B1" s="32"/>
    </row>
    <row r="2" spans="1:12" ht="27" x14ac:dyDescent="0.3">
      <c r="B2" s="1" t="s">
        <v>1</v>
      </c>
      <c r="C2" s="2" t="s">
        <v>2</v>
      </c>
      <c r="D2" s="2" t="s">
        <v>3</v>
      </c>
      <c r="E2" s="2"/>
      <c r="F2" s="2"/>
      <c r="G2" s="2" t="s">
        <v>62</v>
      </c>
      <c r="H2" s="2" t="s">
        <v>63</v>
      </c>
      <c r="I2" s="2" t="s">
        <v>64</v>
      </c>
      <c r="J2" s="2" t="s">
        <v>8</v>
      </c>
      <c r="K2" s="2" t="s">
        <v>65</v>
      </c>
      <c r="L2" s="2" t="s">
        <v>66</v>
      </c>
    </row>
    <row r="3" spans="1:12" hidden="1" x14ac:dyDescent="0.3">
      <c r="B3" s="1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 hidden="1" x14ac:dyDescent="0.3">
      <c r="B4" s="1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2" hidden="1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hidden="1" x14ac:dyDescent="0.3">
      <c r="B6" s="32"/>
    </row>
    <row r="7" spans="1:12" hidden="1" x14ac:dyDescent="0.3">
      <c r="B7" s="32"/>
    </row>
    <row r="8" spans="1:12" x14ac:dyDescent="0.3">
      <c r="A8">
        <v>1</v>
      </c>
      <c r="B8" s="10" t="s">
        <v>37</v>
      </c>
      <c r="C8" s="11" t="s">
        <v>38</v>
      </c>
      <c r="D8" s="11"/>
      <c r="E8" s="11">
        <f>GANTT!$F$8</f>
        <v>122.5</v>
      </c>
      <c r="F8" s="38"/>
      <c r="G8" s="38"/>
      <c r="H8" s="47">
        <f>IF(Termine!$F8 &gt; 0, Termine!$F8,"")</f>
        <v>45641</v>
      </c>
      <c r="I8" s="38"/>
      <c r="J8" s="38"/>
      <c r="K8" s="38"/>
      <c r="L8" s="38"/>
    </row>
    <row r="9" spans="1:12" x14ac:dyDescent="0.3">
      <c r="A9">
        <v>2</v>
      </c>
      <c r="B9" s="14" t="s">
        <v>13</v>
      </c>
      <c r="C9" s="37" t="s">
        <v>39</v>
      </c>
      <c r="D9" s="14"/>
      <c r="E9" s="14">
        <f>GANTT!$F$9</f>
        <v>80.5</v>
      </c>
      <c r="F9" s="39"/>
      <c r="G9" s="39"/>
      <c r="H9" s="48">
        <f>IF(Termine!$F9 &gt; 0, Termine!$F9,"")</f>
        <v>45641</v>
      </c>
      <c r="I9" s="39"/>
      <c r="J9" s="39"/>
      <c r="K9" s="39"/>
      <c r="L9" s="39"/>
    </row>
    <row r="10" spans="1:12" x14ac:dyDescent="0.3">
      <c r="A10">
        <v>3</v>
      </c>
      <c r="B10" s="19" t="s">
        <v>15</v>
      </c>
      <c r="C10" s="36" t="s">
        <v>40</v>
      </c>
      <c r="D10" s="19"/>
      <c r="E10" s="19">
        <f>GANTT!$F$10</f>
        <v>24</v>
      </c>
      <c r="F10" s="41"/>
      <c r="G10" s="41"/>
      <c r="H10" s="49">
        <f>IF(Termine!$F10 &gt; 0, Termine!$F10,"")</f>
        <v>45585</v>
      </c>
      <c r="I10" s="41"/>
      <c r="J10" s="41"/>
      <c r="K10" s="41"/>
      <c r="L10" s="41"/>
    </row>
    <row r="11" spans="1:12" x14ac:dyDescent="0.3">
      <c r="A11">
        <v>3</v>
      </c>
      <c r="B11" s="19" t="s">
        <v>17</v>
      </c>
      <c r="C11" s="36" t="s">
        <v>41</v>
      </c>
      <c r="D11" s="19"/>
      <c r="E11" s="19">
        <f>GANTT!$F$11</f>
        <v>0</v>
      </c>
      <c r="F11" s="41"/>
      <c r="G11" s="41"/>
      <c r="H11" s="49" t="str">
        <f>IF(Termine!$F11 &gt; 0, Termine!$F11,"")</f>
        <v/>
      </c>
      <c r="I11" s="41"/>
      <c r="J11" s="41"/>
      <c r="K11" s="41"/>
      <c r="L11" s="41"/>
    </row>
    <row r="12" spans="1:12" x14ac:dyDescent="0.3">
      <c r="A12">
        <v>3</v>
      </c>
      <c r="B12" s="19" t="s">
        <v>19</v>
      </c>
      <c r="C12" s="36" t="s">
        <v>42</v>
      </c>
      <c r="D12" s="19"/>
      <c r="E12" s="19">
        <f>GANTT!$F$12</f>
        <v>7.5</v>
      </c>
      <c r="F12" s="41"/>
      <c r="G12" s="41"/>
      <c r="H12" s="49">
        <f>IF(Termine!$F12 &gt; 0, Termine!$F12,"")</f>
        <v>45641</v>
      </c>
      <c r="I12" s="41"/>
      <c r="J12" s="41"/>
      <c r="K12" s="41"/>
      <c r="L12" s="41"/>
    </row>
    <row r="13" spans="1:12" x14ac:dyDescent="0.3">
      <c r="A13">
        <v>3</v>
      </c>
      <c r="B13" s="19" t="s">
        <v>43</v>
      </c>
      <c r="C13" s="36" t="s">
        <v>44</v>
      </c>
      <c r="D13" s="19"/>
      <c r="E13" s="19">
        <f>GANTT!$F$13</f>
        <v>15</v>
      </c>
      <c r="F13" s="41"/>
      <c r="G13" s="41"/>
      <c r="H13" s="49">
        <f>IF(Termine!$F13 &gt; 0, Termine!$F13,"")</f>
        <v>45641</v>
      </c>
      <c r="I13" s="41"/>
      <c r="J13" s="41"/>
      <c r="K13" s="41"/>
      <c r="L13" s="41"/>
    </row>
    <row r="14" spans="1:12" x14ac:dyDescent="0.3">
      <c r="A14">
        <v>3</v>
      </c>
      <c r="B14" s="19" t="s">
        <v>45</v>
      </c>
      <c r="C14" s="36" t="s">
        <v>46</v>
      </c>
      <c r="D14" s="19"/>
      <c r="E14" s="19">
        <f>GANTT!$F$14</f>
        <v>10</v>
      </c>
      <c r="F14" s="41"/>
      <c r="G14" s="41"/>
      <c r="H14" s="49">
        <f>IF(Termine!$F14 &gt; 0, Termine!$F14,"")</f>
        <v>45641</v>
      </c>
      <c r="I14" s="41"/>
      <c r="J14" s="41"/>
      <c r="K14" s="41"/>
      <c r="L14" s="41"/>
    </row>
    <row r="15" spans="1:12" x14ac:dyDescent="0.3">
      <c r="A15">
        <v>3</v>
      </c>
      <c r="B15" s="19" t="s">
        <v>47</v>
      </c>
      <c r="C15" s="36" t="s">
        <v>48</v>
      </c>
      <c r="D15" s="19"/>
      <c r="E15" s="19">
        <f>GANTT!$F$15</f>
        <v>24</v>
      </c>
      <c r="F15" s="41"/>
      <c r="G15" s="41"/>
      <c r="H15" s="49">
        <f>IF(Termine!$F15 &gt; 0, Termine!$F15,"")</f>
        <v>45641</v>
      </c>
      <c r="I15" s="41"/>
      <c r="J15" s="41"/>
      <c r="K15" s="41"/>
      <c r="L15" s="41"/>
    </row>
    <row r="16" spans="1:12" x14ac:dyDescent="0.3">
      <c r="A16">
        <v>3</v>
      </c>
      <c r="B16" s="19" t="s">
        <v>49</v>
      </c>
      <c r="C16" s="36" t="s">
        <v>50</v>
      </c>
      <c r="D16" s="19"/>
      <c r="E16" s="19">
        <f>GANTT!$F$16</f>
        <v>0</v>
      </c>
      <c r="F16" s="41"/>
      <c r="G16" s="41"/>
      <c r="H16" s="49" t="str">
        <f>IF(Termine!$F16 &gt; 0, Termine!$F16,"")</f>
        <v/>
      </c>
      <c r="I16" s="41"/>
      <c r="J16" s="41"/>
      <c r="K16" s="41"/>
      <c r="L16" s="41"/>
    </row>
    <row r="17" spans="1:12" x14ac:dyDescent="0.3">
      <c r="A17">
        <v>2</v>
      </c>
      <c r="B17" s="14" t="s">
        <v>51</v>
      </c>
      <c r="C17" s="37" t="s">
        <v>52</v>
      </c>
      <c r="D17" s="14"/>
      <c r="E17" s="14">
        <f>GANTT!$F$17</f>
        <v>42</v>
      </c>
      <c r="F17" s="39"/>
      <c r="G17" s="39"/>
      <c r="H17" s="48">
        <f>IF(Termine!$F17 &gt; 0, Termine!$F17,"")</f>
        <v>45613</v>
      </c>
      <c r="I17" s="39"/>
      <c r="J17" s="39"/>
      <c r="K17" s="39"/>
      <c r="L17" s="39"/>
    </row>
    <row r="18" spans="1:12" x14ac:dyDescent="0.3">
      <c r="A18">
        <v>3</v>
      </c>
      <c r="B18" s="19" t="s">
        <v>53</v>
      </c>
      <c r="C18" s="36" t="s">
        <v>54</v>
      </c>
      <c r="D18" s="19"/>
      <c r="E18" s="19">
        <f>GANTT!$F$18</f>
        <v>12</v>
      </c>
      <c r="F18" s="41"/>
      <c r="G18" s="41"/>
      <c r="H18" s="49">
        <f>IF(Termine!$F18 &gt; 0, Termine!$F18,"")</f>
        <v>45606</v>
      </c>
      <c r="I18" s="41"/>
      <c r="J18" s="41"/>
      <c r="K18" s="41"/>
      <c r="L18" s="41"/>
    </row>
    <row r="19" spans="1:12" x14ac:dyDescent="0.3">
      <c r="A19">
        <v>3</v>
      </c>
      <c r="B19" s="19" t="s">
        <v>55</v>
      </c>
      <c r="C19" s="36" t="s">
        <v>56</v>
      </c>
      <c r="D19" s="19"/>
      <c r="E19" s="19">
        <f>GANTT!$F$19</f>
        <v>6</v>
      </c>
      <c r="F19" s="41"/>
      <c r="G19" s="41"/>
      <c r="H19" s="49">
        <f>IF(Termine!$F19 &gt; 0, Termine!$F19,"")</f>
        <v>45606</v>
      </c>
      <c r="I19" s="41"/>
      <c r="J19" s="41"/>
      <c r="K19" s="41"/>
      <c r="L19" s="41"/>
    </row>
    <row r="20" spans="1:12" x14ac:dyDescent="0.3">
      <c r="A20">
        <v>3</v>
      </c>
      <c r="B20" s="19" t="s">
        <v>57</v>
      </c>
      <c r="C20" s="36" t="s">
        <v>58</v>
      </c>
      <c r="D20" s="19"/>
      <c r="E20" s="19">
        <f>GANTT!$F$20</f>
        <v>24</v>
      </c>
      <c r="F20" s="41"/>
      <c r="G20" s="41"/>
      <c r="H20" s="49">
        <f>IF(Termine!$F20 &gt; 0, Termine!$F20,"")</f>
        <v>45613</v>
      </c>
      <c r="I20" s="41"/>
      <c r="J20" s="41"/>
      <c r="K20" s="41"/>
      <c r="L20" s="41"/>
    </row>
    <row r="21" spans="1:12" x14ac:dyDescent="0.3">
      <c r="A21">
        <v>3</v>
      </c>
      <c r="B21" s="19" t="s">
        <v>59</v>
      </c>
      <c r="C21" s="36" t="s">
        <v>60</v>
      </c>
      <c r="D21" s="19"/>
      <c r="E21" s="19">
        <f>GANTT!$F$21</f>
        <v>0</v>
      </c>
      <c r="F21" s="41"/>
      <c r="G21" s="41"/>
      <c r="H21" s="49" t="str">
        <f>IF(Termine!$F21 &gt; 0, Termine!$F21,"")</f>
        <v/>
      </c>
      <c r="I21" s="41"/>
      <c r="J21" s="41"/>
      <c r="K21" s="41"/>
      <c r="L21" s="41"/>
    </row>
    <row r="22" spans="1:12" x14ac:dyDescent="0.3">
      <c r="E22">
        <f>GANTT!$F$22</f>
        <v>0</v>
      </c>
      <c r="H22" s="50" t="str">
        <f>IF(Termine!$F22 &gt; 0, Termine!$F22,"")</f>
        <v/>
      </c>
    </row>
  </sheetData>
  <conditionalFormatting sqref="B10:C16 B18:C21">
    <cfRule type="expression" dxfId="30" priority="2">
      <formula>$E10=0</formula>
    </cfRule>
  </conditionalFormatting>
  <conditionalFormatting sqref="B17:C17 B9:C9">
    <cfRule type="expression" dxfId="29" priority="1">
      <formula>$E9=0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86AF-CCB3-4856-B9F1-1D94146F19A5}">
  <dimension ref="A1:K22"/>
  <sheetViews>
    <sheetView topLeftCell="B1" workbookViewId="0">
      <selection activeCell="J9" sqref="J9:J22"/>
    </sheetView>
  </sheetViews>
  <sheetFormatPr defaultColWidth="11.5546875" defaultRowHeight="14.4" x14ac:dyDescent="0.3"/>
  <cols>
    <col min="1" max="1" width="2" bestFit="1" customWidth="1"/>
    <col min="2" max="2" width="5.109375" bestFit="1" customWidth="1"/>
    <col min="3" max="3" width="34.6640625" bestFit="1" customWidth="1"/>
    <col min="5" max="5" width="0" hidden="1" customWidth="1"/>
    <col min="6" max="11" width="11.44140625"/>
  </cols>
  <sheetData>
    <row r="1" spans="1:11" x14ac:dyDescent="0.3">
      <c r="B1" s="32"/>
    </row>
    <row r="2" spans="1:11" ht="27" x14ac:dyDescent="0.3">
      <c r="B2" s="1" t="s">
        <v>1</v>
      </c>
      <c r="C2" s="2" t="s">
        <v>2</v>
      </c>
      <c r="D2" s="2" t="s">
        <v>3</v>
      </c>
      <c r="E2" s="2"/>
      <c r="F2" s="2"/>
      <c r="G2" s="2" t="s">
        <v>63</v>
      </c>
      <c r="H2" s="2" t="s">
        <v>64</v>
      </c>
      <c r="I2" s="2" t="s">
        <v>8</v>
      </c>
      <c r="J2" s="2" t="s">
        <v>67</v>
      </c>
      <c r="K2" s="2" t="s">
        <v>68</v>
      </c>
    </row>
    <row r="3" spans="1:11" hidden="1" x14ac:dyDescent="0.3">
      <c r="B3" s="1"/>
      <c r="C3" s="2"/>
      <c r="D3" s="2"/>
      <c r="E3" s="2"/>
      <c r="F3" s="2"/>
      <c r="G3" s="2"/>
      <c r="H3" s="2"/>
      <c r="I3" s="2"/>
      <c r="J3" s="2"/>
      <c r="K3" s="2"/>
    </row>
    <row r="4" spans="1:11" hidden="1" x14ac:dyDescent="0.3">
      <c r="B4" s="1"/>
      <c r="C4" s="2"/>
      <c r="D4" s="2"/>
      <c r="E4" s="2"/>
      <c r="F4" s="2"/>
      <c r="G4" s="2"/>
      <c r="H4" s="2"/>
      <c r="I4" s="2"/>
      <c r="J4" s="2"/>
      <c r="K4" s="2"/>
    </row>
    <row r="5" spans="1:11" hidden="1" x14ac:dyDescent="0.3">
      <c r="B5" s="1"/>
      <c r="C5" s="2"/>
      <c r="D5" s="2"/>
      <c r="E5" s="2"/>
      <c r="F5" s="2"/>
      <c r="G5" s="2"/>
      <c r="H5" s="2"/>
      <c r="I5" s="2"/>
      <c r="J5" s="2"/>
      <c r="K5" s="2"/>
    </row>
    <row r="6" spans="1:11" hidden="1" x14ac:dyDescent="0.3">
      <c r="B6" s="32"/>
    </row>
    <row r="7" spans="1:11" hidden="1" x14ac:dyDescent="0.3">
      <c r="B7" s="32"/>
    </row>
    <row r="8" spans="1:11" x14ac:dyDescent="0.3">
      <c r="A8">
        <v>1</v>
      </c>
      <c r="B8" s="10" t="s">
        <v>37</v>
      </c>
      <c r="C8" s="11" t="s">
        <v>38</v>
      </c>
      <c r="D8" s="11"/>
      <c r="E8" s="11">
        <f>GANTT!$F$8</f>
        <v>122.5</v>
      </c>
      <c r="F8" s="38"/>
      <c r="G8" s="38"/>
      <c r="H8" s="38"/>
      <c r="I8" s="38"/>
      <c r="J8" s="38" t="str">
        <f>IF(I8&lt;=0, "", IF(H8&gt;0, I8-H8, I8-G8))</f>
        <v/>
      </c>
      <c r="K8" s="38"/>
    </row>
    <row r="9" spans="1:11" x14ac:dyDescent="0.3">
      <c r="A9">
        <v>2</v>
      </c>
      <c r="B9" s="14" t="s">
        <v>13</v>
      </c>
      <c r="C9" s="37" t="s">
        <v>39</v>
      </c>
      <c r="D9" s="14"/>
      <c r="E9" s="14">
        <f>GANTT!$F$9</f>
        <v>80.5</v>
      </c>
      <c r="F9" s="39"/>
      <c r="G9" s="39"/>
      <c r="H9" s="39"/>
      <c r="I9" s="39"/>
      <c r="J9" s="39" t="str">
        <f t="shared" ref="J9:J22" si="0">IF(I9&lt;=0, "", IF(H9&gt;0, I9-H9, I9-G9))</f>
        <v/>
      </c>
      <c r="K9" s="39"/>
    </row>
    <row r="10" spans="1:11" x14ac:dyDescent="0.3">
      <c r="A10">
        <v>3</v>
      </c>
      <c r="B10" s="19" t="s">
        <v>15</v>
      </c>
      <c r="C10" s="36" t="s">
        <v>40</v>
      </c>
      <c r="D10" s="19"/>
      <c r="E10" s="19">
        <f>GANTT!$F$10</f>
        <v>24</v>
      </c>
      <c r="F10" s="41"/>
      <c r="G10" s="41"/>
      <c r="H10" s="41"/>
      <c r="I10" s="41"/>
      <c r="J10" s="41" t="str">
        <f t="shared" si="0"/>
        <v/>
      </c>
      <c r="K10" s="41"/>
    </row>
    <row r="11" spans="1:11" x14ac:dyDescent="0.3">
      <c r="A11">
        <v>3</v>
      </c>
      <c r="B11" s="19" t="s">
        <v>17</v>
      </c>
      <c r="C11" s="36" t="s">
        <v>41</v>
      </c>
      <c r="D11" s="19"/>
      <c r="E11" s="19">
        <f>GANTT!$F$11</f>
        <v>0</v>
      </c>
      <c r="F11" s="41"/>
      <c r="G11" s="41"/>
      <c r="H11" s="41"/>
      <c r="I11" s="41"/>
      <c r="J11" s="41" t="str">
        <f t="shared" si="0"/>
        <v/>
      </c>
      <c r="K11" s="41"/>
    </row>
    <row r="12" spans="1:11" x14ac:dyDescent="0.3">
      <c r="A12">
        <v>3</v>
      </c>
      <c r="B12" s="19" t="s">
        <v>19</v>
      </c>
      <c r="C12" s="36" t="s">
        <v>42</v>
      </c>
      <c r="D12" s="19"/>
      <c r="E12" s="19">
        <f>GANTT!$F$12</f>
        <v>7.5</v>
      </c>
      <c r="F12" s="41"/>
      <c r="G12" s="41"/>
      <c r="H12" s="41"/>
      <c r="I12" s="41"/>
      <c r="J12" s="41" t="str">
        <f t="shared" si="0"/>
        <v/>
      </c>
      <c r="K12" s="41"/>
    </row>
    <row r="13" spans="1:11" x14ac:dyDescent="0.3">
      <c r="A13">
        <v>3</v>
      </c>
      <c r="B13" s="19" t="s">
        <v>43</v>
      </c>
      <c r="C13" s="36" t="s">
        <v>44</v>
      </c>
      <c r="D13" s="19"/>
      <c r="E13" s="19">
        <f>GANTT!$F$13</f>
        <v>15</v>
      </c>
      <c r="F13" s="41"/>
      <c r="G13" s="41"/>
      <c r="H13" s="41"/>
      <c r="I13" s="41"/>
      <c r="J13" s="41" t="str">
        <f t="shared" si="0"/>
        <v/>
      </c>
      <c r="K13" s="41"/>
    </row>
    <row r="14" spans="1:11" x14ac:dyDescent="0.3">
      <c r="A14">
        <v>3</v>
      </c>
      <c r="B14" s="19" t="s">
        <v>45</v>
      </c>
      <c r="C14" s="36" t="s">
        <v>46</v>
      </c>
      <c r="D14" s="19"/>
      <c r="E14" s="19">
        <f>GANTT!$F$14</f>
        <v>10</v>
      </c>
      <c r="F14" s="41"/>
      <c r="G14" s="41"/>
      <c r="H14" s="41"/>
      <c r="I14" s="41"/>
      <c r="J14" s="41" t="str">
        <f t="shared" si="0"/>
        <v/>
      </c>
      <c r="K14" s="41"/>
    </row>
    <row r="15" spans="1:11" x14ac:dyDescent="0.3">
      <c r="A15">
        <v>3</v>
      </c>
      <c r="B15" s="19" t="s">
        <v>47</v>
      </c>
      <c r="C15" s="36" t="s">
        <v>48</v>
      </c>
      <c r="D15" s="19"/>
      <c r="E15" s="19">
        <f>GANTT!$F$15</f>
        <v>24</v>
      </c>
      <c r="F15" s="41"/>
      <c r="G15" s="41"/>
      <c r="H15" s="41"/>
      <c r="I15" s="41"/>
      <c r="J15" s="41" t="str">
        <f t="shared" si="0"/>
        <v/>
      </c>
      <c r="K15" s="41"/>
    </row>
    <row r="16" spans="1:11" x14ac:dyDescent="0.3">
      <c r="A16">
        <v>3</v>
      </c>
      <c r="B16" s="19" t="s">
        <v>49</v>
      </c>
      <c r="C16" s="36" t="s">
        <v>50</v>
      </c>
      <c r="D16" s="19"/>
      <c r="E16" s="19">
        <f>GANTT!$F$16</f>
        <v>0</v>
      </c>
      <c r="F16" s="41"/>
      <c r="G16" s="41"/>
      <c r="H16" s="41"/>
      <c r="I16" s="41"/>
      <c r="J16" s="41" t="str">
        <f t="shared" si="0"/>
        <v/>
      </c>
      <c r="K16" s="41"/>
    </row>
    <row r="17" spans="1:11" x14ac:dyDescent="0.3">
      <c r="A17">
        <v>2</v>
      </c>
      <c r="B17" s="14" t="s">
        <v>51</v>
      </c>
      <c r="C17" s="37" t="s">
        <v>52</v>
      </c>
      <c r="D17" s="14"/>
      <c r="E17" s="14">
        <f>GANTT!$F$17</f>
        <v>42</v>
      </c>
      <c r="F17" s="39"/>
      <c r="G17" s="39"/>
      <c r="H17" s="39"/>
      <c r="I17" s="39"/>
      <c r="J17" s="39" t="str">
        <f t="shared" si="0"/>
        <v/>
      </c>
      <c r="K17" s="39"/>
    </row>
    <row r="18" spans="1:11" x14ac:dyDescent="0.3">
      <c r="A18">
        <v>3</v>
      </c>
      <c r="B18" s="19" t="s">
        <v>53</v>
      </c>
      <c r="C18" s="36" t="s">
        <v>54</v>
      </c>
      <c r="D18" s="19"/>
      <c r="E18" s="19">
        <f>GANTT!$F$18</f>
        <v>12</v>
      </c>
      <c r="F18" s="41"/>
      <c r="G18" s="41"/>
      <c r="H18" s="41"/>
      <c r="I18" s="41"/>
      <c r="J18" s="41" t="str">
        <f t="shared" si="0"/>
        <v/>
      </c>
      <c r="K18" s="41"/>
    </row>
    <row r="19" spans="1:11" x14ac:dyDescent="0.3">
      <c r="A19">
        <v>3</v>
      </c>
      <c r="B19" s="19" t="s">
        <v>55</v>
      </c>
      <c r="C19" s="36" t="s">
        <v>56</v>
      </c>
      <c r="D19" s="19"/>
      <c r="E19" s="19">
        <f>GANTT!$F$19</f>
        <v>6</v>
      </c>
      <c r="F19" s="41"/>
      <c r="G19" s="41"/>
      <c r="H19" s="41"/>
      <c r="I19" s="41"/>
      <c r="J19" s="41" t="str">
        <f t="shared" si="0"/>
        <v/>
      </c>
      <c r="K19" s="41"/>
    </row>
    <row r="20" spans="1:11" x14ac:dyDescent="0.3">
      <c r="A20">
        <v>3</v>
      </c>
      <c r="B20" s="19" t="s">
        <v>57</v>
      </c>
      <c r="C20" s="36" t="s">
        <v>58</v>
      </c>
      <c r="D20" s="19"/>
      <c r="E20" s="19">
        <f>GANTT!$F$20</f>
        <v>24</v>
      </c>
      <c r="F20" s="41"/>
      <c r="G20" s="41"/>
      <c r="H20" s="41"/>
      <c r="I20" s="41"/>
      <c r="J20" s="41" t="str">
        <f t="shared" si="0"/>
        <v/>
      </c>
      <c r="K20" s="41"/>
    </row>
    <row r="21" spans="1:11" x14ac:dyDescent="0.3">
      <c r="A21">
        <v>3</v>
      </c>
      <c r="B21" s="19" t="s">
        <v>59</v>
      </c>
      <c r="C21" s="36" t="s">
        <v>60</v>
      </c>
      <c r="D21" s="19"/>
      <c r="E21" s="19">
        <f>GANTT!$F$21</f>
        <v>0</v>
      </c>
      <c r="F21" s="41"/>
      <c r="G21" s="41"/>
      <c r="H21" s="41"/>
      <c r="I21" s="41"/>
      <c r="J21" s="41" t="str">
        <f t="shared" si="0"/>
        <v/>
      </c>
      <c r="K21" s="41"/>
    </row>
    <row r="22" spans="1:11" x14ac:dyDescent="0.3">
      <c r="E22">
        <f>GANTT!$F$22</f>
        <v>0</v>
      </c>
      <c r="J22" t="str">
        <f t="shared" si="0"/>
        <v/>
      </c>
    </row>
  </sheetData>
  <conditionalFormatting sqref="B10:C16 B18:C21">
    <cfRule type="expression" dxfId="28" priority="2">
      <formula>$E10=0</formula>
    </cfRule>
  </conditionalFormatting>
  <conditionalFormatting sqref="B17:C17 B9:C9">
    <cfRule type="expression" dxfId="27" priority="1">
      <formula>$E9=0</formula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8B98A-C220-4845-B370-CB1C346E7507}">
  <dimension ref="A1:I22"/>
  <sheetViews>
    <sheetView topLeftCell="B1" workbookViewId="0">
      <selection activeCell="I1" sqref="I1:I1048576"/>
    </sheetView>
  </sheetViews>
  <sheetFormatPr defaultColWidth="11.5546875" defaultRowHeight="14.4" x14ac:dyDescent="0.3"/>
  <cols>
    <col min="1" max="1" width="2" bestFit="1" customWidth="1"/>
    <col min="2" max="2" width="5.109375" bestFit="1" customWidth="1"/>
    <col min="3" max="3" width="34.6640625" bestFit="1" customWidth="1"/>
    <col min="5" max="5" width="0" hidden="1" customWidth="1"/>
    <col min="6" max="6" width="11.44140625"/>
    <col min="7" max="9" width="3.33203125" bestFit="1" customWidth="1"/>
  </cols>
  <sheetData>
    <row r="1" spans="1:9" x14ac:dyDescent="0.3">
      <c r="B1" s="32"/>
    </row>
    <row r="2" spans="1:9" ht="27" x14ac:dyDescent="0.3">
      <c r="B2" s="1" t="s">
        <v>1</v>
      </c>
      <c r="C2" s="2" t="s">
        <v>2</v>
      </c>
      <c r="D2" s="2" t="s">
        <v>3</v>
      </c>
      <c r="E2" s="2"/>
      <c r="F2" s="2"/>
      <c r="G2" s="51" t="s">
        <v>69</v>
      </c>
      <c r="H2" s="51" t="s">
        <v>70</v>
      </c>
      <c r="I2" s="51" t="s">
        <v>71</v>
      </c>
    </row>
    <row r="3" spans="1:9" hidden="1" x14ac:dyDescent="0.3">
      <c r="B3" s="1"/>
      <c r="C3" s="2"/>
      <c r="D3" s="2"/>
      <c r="E3" s="2"/>
      <c r="F3" s="2"/>
      <c r="G3" s="2"/>
      <c r="H3" s="2"/>
      <c r="I3" s="2"/>
    </row>
    <row r="4" spans="1:9" hidden="1" x14ac:dyDescent="0.3">
      <c r="B4" s="1"/>
      <c r="C4" s="2"/>
      <c r="D4" s="2"/>
      <c r="E4" s="2"/>
      <c r="F4" s="2"/>
      <c r="G4" s="2"/>
      <c r="H4" s="2"/>
      <c r="I4" s="2"/>
    </row>
    <row r="5" spans="1:9" hidden="1" x14ac:dyDescent="0.3">
      <c r="B5" s="1"/>
      <c r="C5" s="2"/>
      <c r="D5" s="2"/>
      <c r="E5" s="2"/>
      <c r="F5" s="2"/>
      <c r="G5" s="2"/>
      <c r="H5" s="2"/>
      <c r="I5" s="2"/>
    </row>
    <row r="6" spans="1:9" hidden="1" x14ac:dyDescent="0.3">
      <c r="B6" s="32"/>
    </row>
    <row r="7" spans="1:9" hidden="1" x14ac:dyDescent="0.3">
      <c r="B7" s="32"/>
    </row>
    <row r="8" spans="1:9" x14ac:dyDescent="0.3">
      <c r="A8">
        <v>1</v>
      </c>
      <c r="B8" s="10" t="s">
        <v>37</v>
      </c>
      <c r="C8" s="11" t="s">
        <v>38</v>
      </c>
      <c r="D8" s="11"/>
      <c r="E8" s="11">
        <f>GANTT!$F$8</f>
        <v>122.5</v>
      </c>
      <c r="F8" s="38"/>
      <c r="G8" s="38"/>
      <c r="H8" s="38"/>
      <c r="I8" s="38"/>
    </row>
    <row r="9" spans="1:9" x14ac:dyDescent="0.3">
      <c r="A9">
        <v>2</v>
      </c>
      <c r="B9" s="14" t="s">
        <v>13</v>
      </c>
      <c r="C9" s="37" t="s">
        <v>39</v>
      </c>
      <c r="D9" s="14"/>
      <c r="E9" s="14">
        <f>GANTT!$F$9</f>
        <v>80.5</v>
      </c>
      <c r="F9" s="39"/>
      <c r="G9" s="39"/>
      <c r="H9" s="39"/>
      <c r="I9" s="39"/>
    </row>
    <row r="10" spans="1:9" x14ac:dyDescent="0.3">
      <c r="A10">
        <v>3</v>
      </c>
      <c r="B10" s="19" t="s">
        <v>15</v>
      </c>
      <c r="C10" s="36" t="s">
        <v>40</v>
      </c>
      <c r="D10" s="19"/>
      <c r="E10" s="19">
        <f>GANTT!$F$10</f>
        <v>24</v>
      </c>
      <c r="F10" s="41"/>
      <c r="G10" s="41"/>
      <c r="H10" s="41"/>
      <c r="I10" s="41"/>
    </row>
    <row r="11" spans="1:9" x14ac:dyDescent="0.3">
      <c r="A11">
        <v>3</v>
      </c>
      <c r="B11" s="19" t="s">
        <v>17</v>
      </c>
      <c r="C11" s="36" t="s">
        <v>41</v>
      </c>
      <c r="D11" s="19"/>
      <c r="E11" s="19">
        <f>GANTT!$F$11</f>
        <v>0</v>
      </c>
      <c r="F11" s="41"/>
      <c r="G11" s="41"/>
      <c r="H11" s="41"/>
      <c r="I11" s="41"/>
    </row>
    <row r="12" spans="1:9" x14ac:dyDescent="0.3">
      <c r="A12">
        <v>3</v>
      </c>
      <c r="B12" s="19" t="s">
        <v>19</v>
      </c>
      <c r="C12" s="36" t="s">
        <v>42</v>
      </c>
      <c r="D12" s="19"/>
      <c r="E12" s="19">
        <f>GANTT!$F$12</f>
        <v>7.5</v>
      </c>
      <c r="F12" s="41"/>
      <c r="G12" s="41"/>
      <c r="H12" s="41"/>
      <c r="I12" s="41"/>
    </row>
    <row r="13" spans="1:9" x14ac:dyDescent="0.3">
      <c r="A13">
        <v>3</v>
      </c>
      <c r="B13" s="19" t="s">
        <v>43</v>
      </c>
      <c r="C13" s="36" t="s">
        <v>44</v>
      </c>
      <c r="D13" s="19"/>
      <c r="E13" s="19">
        <f>GANTT!$F$13</f>
        <v>15</v>
      </c>
      <c r="F13" s="41"/>
      <c r="G13" s="41"/>
      <c r="H13" s="41"/>
      <c r="I13" s="41"/>
    </row>
    <row r="14" spans="1:9" x14ac:dyDescent="0.3">
      <c r="A14">
        <v>3</v>
      </c>
      <c r="B14" s="19" t="s">
        <v>45</v>
      </c>
      <c r="C14" s="36" t="s">
        <v>46</v>
      </c>
      <c r="D14" s="19"/>
      <c r="E14" s="19">
        <f>GANTT!$F$14</f>
        <v>10</v>
      </c>
      <c r="F14" s="41"/>
      <c r="G14" s="41"/>
      <c r="H14" s="41"/>
      <c r="I14" s="41"/>
    </row>
    <row r="15" spans="1:9" x14ac:dyDescent="0.3">
      <c r="A15">
        <v>3</v>
      </c>
      <c r="B15" s="19" t="s">
        <v>47</v>
      </c>
      <c r="C15" s="36" t="s">
        <v>48</v>
      </c>
      <c r="D15" s="19"/>
      <c r="E15" s="19">
        <f>GANTT!$F$15</f>
        <v>24</v>
      </c>
      <c r="F15" s="41"/>
      <c r="G15" s="41"/>
      <c r="H15" s="41"/>
      <c r="I15" s="41"/>
    </row>
    <row r="16" spans="1:9" x14ac:dyDescent="0.3">
      <c r="A16">
        <v>3</v>
      </c>
      <c r="B16" s="19" t="s">
        <v>49</v>
      </c>
      <c r="C16" s="36" t="s">
        <v>50</v>
      </c>
      <c r="D16" s="19"/>
      <c r="E16" s="19">
        <f>GANTT!$F$16</f>
        <v>0</v>
      </c>
      <c r="F16" s="41"/>
      <c r="G16" s="41"/>
      <c r="H16" s="41"/>
      <c r="I16" s="41"/>
    </row>
    <row r="17" spans="1:9" x14ac:dyDescent="0.3">
      <c r="A17">
        <v>2</v>
      </c>
      <c r="B17" s="14" t="s">
        <v>51</v>
      </c>
      <c r="C17" s="37" t="s">
        <v>52</v>
      </c>
      <c r="D17" s="14"/>
      <c r="E17" s="14">
        <f>GANTT!$F$17</f>
        <v>42</v>
      </c>
      <c r="F17" s="39"/>
      <c r="G17" s="39"/>
      <c r="H17" s="39"/>
      <c r="I17" s="39"/>
    </row>
    <row r="18" spans="1:9" x14ac:dyDescent="0.3">
      <c r="A18">
        <v>3</v>
      </c>
      <c r="B18" s="19" t="s">
        <v>53</v>
      </c>
      <c r="C18" s="36" t="s">
        <v>54</v>
      </c>
      <c r="D18" s="19"/>
      <c r="E18" s="19">
        <f>GANTT!$F$18</f>
        <v>12</v>
      </c>
      <c r="F18" s="41"/>
      <c r="G18" s="41"/>
      <c r="H18" s="41"/>
      <c r="I18" s="41"/>
    </row>
    <row r="19" spans="1:9" x14ac:dyDescent="0.3">
      <c r="A19">
        <v>3</v>
      </c>
      <c r="B19" s="19" t="s">
        <v>55</v>
      </c>
      <c r="C19" s="36" t="s">
        <v>56</v>
      </c>
      <c r="D19" s="19"/>
      <c r="E19" s="19">
        <f>GANTT!$F$19</f>
        <v>6</v>
      </c>
      <c r="F19" s="41"/>
      <c r="G19" s="41"/>
      <c r="H19" s="41"/>
      <c r="I19" s="41"/>
    </row>
    <row r="20" spans="1:9" x14ac:dyDescent="0.3">
      <c r="A20">
        <v>3</v>
      </c>
      <c r="B20" s="19" t="s">
        <v>57</v>
      </c>
      <c r="C20" s="36" t="s">
        <v>58</v>
      </c>
      <c r="D20" s="19"/>
      <c r="E20" s="19">
        <f>GANTT!$F$20</f>
        <v>24</v>
      </c>
      <c r="F20" s="41"/>
      <c r="G20" s="41"/>
      <c r="H20" s="41"/>
      <c r="I20" s="41"/>
    </row>
    <row r="21" spans="1:9" x14ac:dyDescent="0.3">
      <c r="A21">
        <v>3</v>
      </c>
      <c r="B21" s="19" t="s">
        <v>59</v>
      </c>
      <c r="C21" s="36" t="s">
        <v>60</v>
      </c>
      <c r="D21" s="19"/>
      <c r="E21" s="19">
        <f>GANTT!$F$21</f>
        <v>0</v>
      </c>
      <c r="F21" s="41"/>
      <c r="G21" s="41"/>
      <c r="H21" s="41"/>
      <c r="I21" s="41"/>
    </row>
    <row r="22" spans="1:9" x14ac:dyDescent="0.3">
      <c r="E22">
        <f>GANTT!$F$22</f>
        <v>0</v>
      </c>
    </row>
  </sheetData>
  <conditionalFormatting sqref="B10:C16 B18:C21">
    <cfRule type="expression" dxfId="26" priority="2">
      <formula>$E10=0</formula>
    </cfRule>
  </conditionalFormatting>
  <conditionalFormatting sqref="B17:C17 B9:C9">
    <cfRule type="expression" dxfId="25" priority="1">
      <formula>$E9=0</formula>
    </cfRule>
  </conditionalFormatting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9D58-D008-47D2-BD8F-1ED90E069D5F}">
  <dimension ref="A1:K22"/>
  <sheetViews>
    <sheetView topLeftCell="C1" workbookViewId="0">
      <selection activeCell="J9" sqref="J9:J22"/>
    </sheetView>
  </sheetViews>
  <sheetFormatPr defaultColWidth="11.5546875" defaultRowHeight="14.4" x14ac:dyDescent="0.3"/>
  <cols>
    <col min="1" max="1" width="2" bestFit="1" customWidth="1"/>
    <col min="2" max="2" width="5.109375" bestFit="1" customWidth="1"/>
    <col min="3" max="3" width="34.6640625" bestFit="1" customWidth="1"/>
    <col min="5" max="5" width="0" hidden="1" customWidth="1"/>
    <col min="6" max="10" width="11.44140625" style="53"/>
    <col min="11" max="11" width="11.44140625" style="57"/>
  </cols>
  <sheetData>
    <row r="1" spans="1:11" x14ac:dyDescent="0.3">
      <c r="B1" s="32"/>
    </row>
    <row r="2" spans="1:11" ht="28.2" x14ac:dyDescent="0.3">
      <c r="B2" s="1" t="s">
        <v>1</v>
      </c>
      <c r="C2" s="2" t="s">
        <v>2</v>
      </c>
      <c r="D2" s="2" t="s">
        <v>3</v>
      </c>
      <c r="E2" s="2"/>
      <c r="F2" s="54"/>
      <c r="G2" s="59" t="s">
        <v>73</v>
      </c>
      <c r="H2" s="59" t="s">
        <v>74</v>
      </c>
      <c r="I2" s="59" t="s">
        <v>75</v>
      </c>
      <c r="J2" s="59" t="s">
        <v>72</v>
      </c>
      <c r="K2" s="52" t="s">
        <v>68</v>
      </c>
    </row>
    <row r="3" spans="1:11" hidden="1" x14ac:dyDescent="0.3">
      <c r="B3" s="1"/>
      <c r="C3" s="2"/>
      <c r="D3" s="2"/>
      <c r="E3" s="2"/>
      <c r="F3" s="54"/>
      <c r="G3" s="54"/>
      <c r="H3" s="54"/>
      <c r="I3" s="54"/>
      <c r="J3" s="54"/>
      <c r="K3" s="52"/>
    </row>
    <row r="4" spans="1:11" hidden="1" x14ac:dyDescent="0.3">
      <c r="B4" s="1"/>
      <c r="C4" s="2"/>
      <c r="D4" s="2"/>
      <c r="E4" s="2"/>
      <c r="F4" s="54"/>
      <c r="G4" s="54"/>
      <c r="H4" s="54"/>
      <c r="I4" s="54"/>
      <c r="J4" s="54"/>
      <c r="K4" s="52"/>
    </row>
    <row r="5" spans="1:11" hidden="1" x14ac:dyDescent="0.3">
      <c r="B5" s="1"/>
      <c r="C5" s="2"/>
      <c r="D5" s="2"/>
      <c r="E5" s="2"/>
      <c r="F5" s="54"/>
      <c r="G5" s="54"/>
      <c r="H5" s="54"/>
      <c r="I5" s="54"/>
      <c r="J5" s="54"/>
      <c r="K5" s="52"/>
    </row>
    <row r="6" spans="1:11" hidden="1" x14ac:dyDescent="0.3">
      <c r="B6" s="32"/>
    </row>
    <row r="7" spans="1:11" hidden="1" x14ac:dyDescent="0.3">
      <c r="B7" s="32"/>
    </row>
    <row r="8" spans="1:11" x14ac:dyDescent="0.3">
      <c r="A8">
        <v>1</v>
      </c>
      <c r="B8" s="10" t="s">
        <v>37</v>
      </c>
      <c r="C8" s="11" t="s">
        <v>38</v>
      </c>
      <c r="D8" s="11"/>
      <c r="E8" s="11">
        <f>GANTT!$F$8</f>
        <v>122.5</v>
      </c>
      <c r="F8" s="55"/>
      <c r="G8" s="55">
        <f>GANTT!$F8</f>
        <v>122.5</v>
      </c>
      <c r="H8" s="55"/>
      <c r="I8" s="55">
        <f>GANTT!$G8</f>
        <v>28</v>
      </c>
      <c r="J8" s="55">
        <f>IF(I8="", "", IF(H8&gt;0, I8-H8, I8-G8))</f>
        <v>-94.5</v>
      </c>
      <c r="K8" s="58"/>
    </row>
    <row r="9" spans="1:11" x14ac:dyDescent="0.3">
      <c r="A9">
        <v>2</v>
      </c>
      <c r="B9" s="14" t="s">
        <v>13</v>
      </c>
      <c r="C9" s="37" t="s">
        <v>39</v>
      </c>
      <c r="D9" s="14"/>
      <c r="E9" s="14">
        <f>GANTT!$F$9</f>
        <v>80.5</v>
      </c>
      <c r="F9" s="56"/>
      <c r="G9" s="56">
        <f>GANTT!$F9</f>
        <v>80.5</v>
      </c>
      <c r="H9" s="56"/>
      <c r="I9" s="56">
        <f>GANTT!$G9</f>
        <v>28</v>
      </c>
      <c r="J9" s="56">
        <f t="shared" ref="J9:J22" si="0">IF(I9="", "", IF(H9&gt;0, I9-H9, I9-G9))</f>
        <v>-52.5</v>
      </c>
      <c r="K9" s="40"/>
    </row>
    <row r="10" spans="1:11" x14ac:dyDescent="0.3">
      <c r="A10">
        <v>3</v>
      </c>
      <c r="B10" s="19" t="s">
        <v>15</v>
      </c>
      <c r="C10" s="36" t="s">
        <v>40</v>
      </c>
      <c r="D10" s="19"/>
      <c r="E10" s="19">
        <f>GANTT!$F$10</f>
        <v>24</v>
      </c>
      <c r="F10" s="21"/>
      <c r="G10" s="21">
        <f>GANTT!$F10</f>
        <v>24</v>
      </c>
      <c r="H10" s="21"/>
      <c r="I10" s="21">
        <f>GANTT!$G10</f>
        <v>28</v>
      </c>
      <c r="J10" s="21">
        <f t="shared" si="0"/>
        <v>4</v>
      </c>
      <c r="K10" s="42"/>
    </row>
    <row r="11" spans="1:11" x14ac:dyDescent="0.3">
      <c r="A11">
        <v>3</v>
      </c>
      <c r="B11" s="19" t="s">
        <v>17</v>
      </c>
      <c r="C11" s="36" t="s">
        <v>41</v>
      </c>
      <c r="D11" s="19"/>
      <c r="E11" s="19">
        <f>GANTT!$F$11</f>
        <v>0</v>
      </c>
      <c r="F11" s="21"/>
      <c r="G11" s="21">
        <f>GANTT!$F11</f>
        <v>0</v>
      </c>
      <c r="H11" s="21"/>
      <c r="I11" s="21">
        <f>GANTT!$G11</f>
        <v>0</v>
      </c>
      <c r="J11" s="21">
        <f t="shared" si="0"/>
        <v>0</v>
      </c>
      <c r="K11" s="42"/>
    </row>
    <row r="12" spans="1:11" x14ac:dyDescent="0.3">
      <c r="A12">
        <v>3</v>
      </c>
      <c r="B12" s="19" t="s">
        <v>19</v>
      </c>
      <c r="C12" s="36" t="s">
        <v>42</v>
      </c>
      <c r="D12" s="19"/>
      <c r="E12" s="19">
        <f>GANTT!$F$12</f>
        <v>7.5</v>
      </c>
      <c r="F12" s="21"/>
      <c r="G12" s="21">
        <f>GANTT!$F12</f>
        <v>7.5</v>
      </c>
      <c r="H12" s="21"/>
      <c r="I12" s="21">
        <f>GANTT!$G12</f>
        <v>0</v>
      </c>
      <c r="J12" s="21">
        <f t="shared" si="0"/>
        <v>-7.5</v>
      </c>
      <c r="K12" s="42"/>
    </row>
    <row r="13" spans="1:11" x14ac:dyDescent="0.3">
      <c r="A13">
        <v>3</v>
      </c>
      <c r="B13" s="19" t="s">
        <v>43</v>
      </c>
      <c r="C13" s="36" t="s">
        <v>44</v>
      </c>
      <c r="D13" s="19"/>
      <c r="E13" s="19">
        <f>GANTT!$F$13</f>
        <v>15</v>
      </c>
      <c r="F13" s="21"/>
      <c r="G13" s="21">
        <f>GANTT!$F13</f>
        <v>15</v>
      </c>
      <c r="H13" s="21"/>
      <c r="I13" s="21">
        <f>GANTT!$G13</f>
        <v>0</v>
      </c>
      <c r="J13" s="21">
        <f t="shared" si="0"/>
        <v>-15</v>
      </c>
      <c r="K13" s="42"/>
    </row>
    <row r="14" spans="1:11" x14ac:dyDescent="0.3">
      <c r="A14">
        <v>3</v>
      </c>
      <c r="B14" s="19" t="s">
        <v>45</v>
      </c>
      <c r="C14" s="36" t="s">
        <v>46</v>
      </c>
      <c r="D14" s="19"/>
      <c r="E14" s="19">
        <f>GANTT!$F$14</f>
        <v>10</v>
      </c>
      <c r="F14" s="21"/>
      <c r="G14" s="21">
        <f>GANTT!$F14</f>
        <v>10</v>
      </c>
      <c r="H14" s="21"/>
      <c r="I14" s="21">
        <f>GANTT!$G14</f>
        <v>0</v>
      </c>
      <c r="J14" s="21">
        <f t="shared" si="0"/>
        <v>-10</v>
      </c>
      <c r="K14" s="42"/>
    </row>
    <row r="15" spans="1:11" x14ac:dyDescent="0.3">
      <c r="A15">
        <v>3</v>
      </c>
      <c r="B15" s="19" t="s">
        <v>47</v>
      </c>
      <c r="C15" s="36" t="s">
        <v>48</v>
      </c>
      <c r="D15" s="19"/>
      <c r="E15" s="19">
        <f>GANTT!$F$15</f>
        <v>24</v>
      </c>
      <c r="F15" s="21"/>
      <c r="G15" s="21">
        <f>GANTT!$F15</f>
        <v>24</v>
      </c>
      <c r="H15" s="21"/>
      <c r="I15" s="21">
        <f>GANTT!$G15</f>
        <v>0</v>
      </c>
      <c r="J15" s="21">
        <f t="shared" si="0"/>
        <v>-24</v>
      </c>
      <c r="K15" s="42"/>
    </row>
    <row r="16" spans="1:11" x14ac:dyDescent="0.3">
      <c r="A16">
        <v>3</v>
      </c>
      <c r="B16" s="19" t="s">
        <v>49</v>
      </c>
      <c r="C16" s="36" t="s">
        <v>50</v>
      </c>
      <c r="D16" s="19"/>
      <c r="E16" s="19">
        <f>GANTT!$F$16</f>
        <v>0</v>
      </c>
      <c r="F16" s="21"/>
      <c r="G16" s="21">
        <f>GANTT!$F16</f>
        <v>0</v>
      </c>
      <c r="H16" s="21"/>
      <c r="I16" s="21">
        <f>GANTT!$G16</f>
        <v>0</v>
      </c>
      <c r="J16" s="21">
        <f t="shared" si="0"/>
        <v>0</v>
      </c>
      <c r="K16" s="42"/>
    </row>
    <row r="17" spans="1:11" x14ac:dyDescent="0.3">
      <c r="A17">
        <v>2</v>
      </c>
      <c r="B17" s="14" t="s">
        <v>51</v>
      </c>
      <c r="C17" s="37" t="s">
        <v>52</v>
      </c>
      <c r="D17" s="14"/>
      <c r="E17" s="14">
        <f>GANTT!$F$17</f>
        <v>42</v>
      </c>
      <c r="F17" s="56"/>
      <c r="G17" s="56">
        <f>GANTT!$F17</f>
        <v>42</v>
      </c>
      <c r="H17" s="56"/>
      <c r="I17" s="56">
        <f>GANTT!$G17</f>
        <v>0</v>
      </c>
      <c r="J17" s="56">
        <f t="shared" si="0"/>
        <v>-42</v>
      </c>
      <c r="K17" s="40"/>
    </row>
    <row r="18" spans="1:11" x14ac:dyDescent="0.3">
      <c r="A18">
        <v>3</v>
      </c>
      <c r="B18" s="19" t="s">
        <v>53</v>
      </c>
      <c r="C18" s="36" t="s">
        <v>54</v>
      </c>
      <c r="D18" s="19"/>
      <c r="E18" s="19">
        <f>GANTT!$F$18</f>
        <v>12</v>
      </c>
      <c r="F18" s="21"/>
      <c r="G18" s="21">
        <f>GANTT!$F18</f>
        <v>12</v>
      </c>
      <c r="H18" s="21"/>
      <c r="I18" s="21">
        <f>GANTT!$G18</f>
        <v>0</v>
      </c>
      <c r="J18" s="21">
        <f t="shared" si="0"/>
        <v>-12</v>
      </c>
      <c r="K18" s="42"/>
    </row>
    <row r="19" spans="1:11" x14ac:dyDescent="0.3">
      <c r="A19">
        <v>3</v>
      </c>
      <c r="B19" s="19" t="s">
        <v>55</v>
      </c>
      <c r="C19" s="36" t="s">
        <v>56</v>
      </c>
      <c r="D19" s="19"/>
      <c r="E19" s="19">
        <f>GANTT!$F$19</f>
        <v>6</v>
      </c>
      <c r="F19" s="21"/>
      <c r="G19" s="21">
        <f>GANTT!$F19</f>
        <v>6</v>
      </c>
      <c r="H19" s="21"/>
      <c r="I19" s="21">
        <f>GANTT!$G19</f>
        <v>0</v>
      </c>
      <c r="J19" s="21">
        <f t="shared" si="0"/>
        <v>-6</v>
      </c>
      <c r="K19" s="42"/>
    </row>
    <row r="20" spans="1:11" x14ac:dyDescent="0.3">
      <c r="A20">
        <v>3</v>
      </c>
      <c r="B20" s="19" t="s">
        <v>57</v>
      </c>
      <c r="C20" s="36" t="s">
        <v>58</v>
      </c>
      <c r="D20" s="19"/>
      <c r="E20" s="19">
        <f>GANTT!$F$20</f>
        <v>24</v>
      </c>
      <c r="F20" s="21"/>
      <c r="G20" s="21">
        <f>GANTT!$F20</f>
        <v>24</v>
      </c>
      <c r="H20" s="21"/>
      <c r="I20" s="21">
        <f>GANTT!$G20</f>
        <v>0</v>
      </c>
      <c r="J20" s="21">
        <f t="shared" si="0"/>
        <v>-24</v>
      </c>
      <c r="K20" s="42"/>
    </row>
    <row r="21" spans="1:11" x14ac:dyDescent="0.3">
      <c r="A21">
        <v>3</v>
      </c>
      <c r="B21" s="19" t="s">
        <v>59</v>
      </c>
      <c r="C21" s="36" t="s">
        <v>60</v>
      </c>
      <c r="D21" s="19"/>
      <c r="E21" s="19">
        <f>GANTT!$F$21</f>
        <v>0</v>
      </c>
      <c r="F21" s="21"/>
      <c r="G21" s="21">
        <f>GANTT!$F21</f>
        <v>0</v>
      </c>
      <c r="H21" s="21"/>
      <c r="I21" s="21">
        <f>GANTT!$G21</f>
        <v>0</v>
      </c>
      <c r="J21" s="21">
        <f t="shared" si="0"/>
        <v>0</v>
      </c>
      <c r="K21" s="42"/>
    </row>
    <row r="22" spans="1:11" x14ac:dyDescent="0.3">
      <c r="E22">
        <f>GANTT!$F$22</f>
        <v>0</v>
      </c>
      <c r="G22" s="53">
        <f>GANTT!$F22</f>
        <v>0</v>
      </c>
      <c r="I22" s="53">
        <f>GANTT!$G22</f>
        <v>0</v>
      </c>
      <c r="J22" s="53">
        <f t="shared" si="0"/>
        <v>0</v>
      </c>
    </row>
  </sheetData>
  <conditionalFormatting sqref="B10:C16 B18:C21">
    <cfRule type="expression" dxfId="24" priority="2">
      <formula>$E10=0</formula>
    </cfRule>
  </conditionalFormatting>
  <conditionalFormatting sqref="B17:C17 B9:C9">
    <cfRule type="expression" dxfId="23" priority="1">
      <formula>$E9=0</formula>
    </cfRule>
  </conditionalFormatting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9AF85-D499-4249-9B8F-1630DFED9FBD}">
  <dimension ref="A1:L82"/>
  <sheetViews>
    <sheetView topLeftCell="B1" workbookViewId="0">
      <selection activeCell="M16" sqref="M16"/>
    </sheetView>
  </sheetViews>
  <sheetFormatPr defaultColWidth="11.5546875" defaultRowHeight="14.4" x14ac:dyDescent="0.3"/>
  <cols>
    <col min="1" max="1" width="2" bestFit="1" customWidth="1"/>
    <col min="2" max="2" width="5.109375" bestFit="1" customWidth="1"/>
    <col min="3" max="3" width="34.6640625" bestFit="1" customWidth="1"/>
    <col min="5" max="5" width="0" hidden="1" customWidth="1"/>
    <col min="6" max="11" width="11.44140625" style="53"/>
    <col min="12" max="12" width="11.44140625" style="57"/>
  </cols>
  <sheetData>
    <row r="1" spans="1:12" x14ac:dyDescent="0.3">
      <c r="B1" s="32"/>
    </row>
    <row r="2" spans="1:12" ht="28.2" x14ac:dyDescent="0.3">
      <c r="B2" s="1" t="s">
        <v>1</v>
      </c>
      <c r="C2" s="2" t="s">
        <v>2</v>
      </c>
      <c r="D2" s="2" t="s">
        <v>3</v>
      </c>
      <c r="E2" s="2"/>
      <c r="F2" s="54"/>
      <c r="G2" s="54" t="s">
        <v>84</v>
      </c>
      <c r="H2" s="59" t="s">
        <v>85</v>
      </c>
      <c r="I2" s="59" t="s">
        <v>86</v>
      </c>
      <c r="J2" s="59" t="s">
        <v>87</v>
      </c>
      <c r="K2" s="59" t="s">
        <v>88</v>
      </c>
      <c r="L2" s="52" t="s">
        <v>68</v>
      </c>
    </row>
    <row r="3" spans="1:12" hidden="1" x14ac:dyDescent="0.3">
      <c r="B3" s="1"/>
      <c r="C3" s="2"/>
      <c r="D3" s="2"/>
      <c r="E3" s="2"/>
      <c r="F3" s="54"/>
      <c r="G3" s="54"/>
      <c r="H3" s="54"/>
      <c r="I3" s="54"/>
      <c r="J3" s="54"/>
      <c r="K3" s="54"/>
      <c r="L3" s="52"/>
    </row>
    <row r="4" spans="1:12" hidden="1" x14ac:dyDescent="0.3">
      <c r="B4" s="1"/>
      <c r="C4" s="2"/>
      <c r="D4" s="2"/>
      <c r="E4" s="2"/>
      <c r="F4" s="54"/>
      <c r="G4" s="54"/>
      <c r="H4" s="54"/>
      <c r="I4" s="54"/>
      <c r="J4" s="54"/>
      <c r="K4" s="54"/>
      <c r="L4" s="52"/>
    </row>
    <row r="5" spans="1:12" hidden="1" x14ac:dyDescent="0.3">
      <c r="B5" s="1"/>
      <c r="C5" s="2"/>
      <c r="D5" s="2"/>
      <c r="E5" s="2"/>
      <c r="F5" s="54"/>
      <c r="G5" s="54"/>
      <c r="H5" s="54"/>
      <c r="I5" s="54"/>
      <c r="J5" s="54"/>
      <c r="K5" s="54"/>
      <c r="L5" s="52"/>
    </row>
    <row r="6" spans="1:12" hidden="1" x14ac:dyDescent="0.3">
      <c r="B6" s="32"/>
    </row>
    <row r="7" spans="1:12" hidden="1" x14ac:dyDescent="0.3">
      <c r="B7" s="32"/>
    </row>
    <row r="8" spans="1:12" x14ac:dyDescent="0.3">
      <c r="A8">
        <v>1</v>
      </c>
      <c r="B8" s="10" t="s">
        <v>37</v>
      </c>
      <c r="C8" s="11" t="s">
        <v>38</v>
      </c>
      <c r="D8" s="11"/>
      <c r="E8" s="11">
        <f>GANTT!$F$8</f>
        <v>122.5</v>
      </c>
      <c r="F8" s="55"/>
      <c r="G8" s="55" t="s">
        <v>4</v>
      </c>
      <c r="H8" s="55">
        <f t="shared" ref="H8:K8" si="0">SUM(H9:H12)</f>
        <v>1375.675</v>
      </c>
      <c r="I8" s="55">
        <f t="shared" si="0"/>
        <v>0</v>
      </c>
      <c r="J8" s="55">
        <f t="shared" si="0"/>
        <v>314.44</v>
      </c>
      <c r="K8" s="55">
        <f t="shared" si="0"/>
        <v>-1061.2350000000001</v>
      </c>
      <c r="L8" s="58"/>
    </row>
    <row r="9" spans="1:12" x14ac:dyDescent="0.3">
      <c r="B9" s="10"/>
      <c r="C9" s="11"/>
      <c r="D9" s="11"/>
      <c r="E9" s="11"/>
      <c r="F9" s="55"/>
      <c r="G9" s="60" t="s">
        <v>89</v>
      </c>
      <c r="H9" s="55">
        <f>INDEX(Personaleinsatz!G$8:G$78, 1+ROUNDDOWN((ROW(G8)-ROW(G$8))/5,0),1) * Einstellungen!$D$27</f>
        <v>1375.675</v>
      </c>
      <c r="I9" s="55">
        <f>INDEX(Personaleinsatz!H$8:H$78, 1+ROUNDDOWN((ROW(H8)-ROW(H$8))/5,0),1) * Einstellungen!$D$27</f>
        <v>0</v>
      </c>
      <c r="J9" s="55">
        <f>INDEX(Personaleinsatz!I$8:I$78, 1+ROUNDDOWN((ROW(I8)-ROW(I$8))/5,0),1) * Einstellungen!$D$27</f>
        <v>314.44</v>
      </c>
      <c r="K9" s="55">
        <f>INDEX(Personaleinsatz!J$8:J$78, 1+ROUNDDOWN((ROW(J8)-ROW(J$8))/5,0),1) * Einstellungen!$D$27</f>
        <v>-1061.2350000000001</v>
      </c>
      <c r="L9" s="58"/>
    </row>
    <row r="10" spans="1:12" x14ac:dyDescent="0.3">
      <c r="B10" s="10"/>
      <c r="C10" s="11"/>
      <c r="D10" s="11"/>
      <c r="E10" s="11"/>
      <c r="F10" s="55"/>
      <c r="G10" s="60" t="s">
        <v>90</v>
      </c>
      <c r="H10" s="55"/>
      <c r="I10" s="55"/>
      <c r="J10" s="55"/>
      <c r="K10" s="55"/>
      <c r="L10" s="58"/>
    </row>
    <row r="11" spans="1:12" x14ac:dyDescent="0.3">
      <c r="B11" s="10"/>
      <c r="C11" s="11"/>
      <c r="D11" s="11"/>
      <c r="E11" s="11"/>
      <c r="F11" s="55"/>
      <c r="G11" s="60" t="s">
        <v>91</v>
      </c>
      <c r="H11" s="55"/>
      <c r="I11" s="55"/>
      <c r="J11" s="55"/>
      <c r="K11" s="55"/>
      <c r="L11" s="58"/>
    </row>
    <row r="12" spans="1:12" x14ac:dyDescent="0.3">
      <c r="B12" s="10"/>
      <c r="C12" s="11"/>
      <c r="D12" s="11"/>
      <c r="E12" s="11"/>
      <c r="F12" s="55"/>
      <c r="G12" s="60" t="s">
        <v>92</v>
      </c>
      <c r="H12" s="55"/>
      <c r="I12" s="55"/>
      <c r="J12" s="55"/>
      <c r="K12" s="55"/>
      <c r="L12" s="58"/>
    </row>
    <row r="13" spans="1:12" x14ac:dyDescent="0.3">
      <c r="A13">
        <v>2</v>
      </c>
      <c r="B13" s="14" t="s">
        <v>13</v>
      </c>
      <c r="C13" s="37" t="s">
        <v>39</v>
      </c>
      <c r="D13" s="14"/>
      <c r="E13" s="14">
        <f>GANTT!$F$9</f>
        <v>80.5</v>
      </c>
      <c r="F13" s="56"/>
      <c r="G13" s="56" t="s">
        <v>4</v>
      </c>
      <c r="H13" s="56">
        <f t="shared" ref="H13" si="1">SUM(H14:H17)</f>
        <v>904.01499999999999</v>
      </c>
      <c r="I13" s="56">
        <f t="shared" ref="I13" si="2">SUM(I14:I17)</f>
        <v>0</v>
      </c>
      <c r="J13" s="56">
        <f t="shared" ref="J13" si="3">SUM(J14:J17)</f>
        <v>314.44</v>
      </c>
      <c r="K13" s="56">
        <f t="shared" ref="K13" si="4">SUM(K14:K17)</f>
        <v>-589.57500000000005</v>
      </c>
      <c r="L13" s="40"/>
    </row>
    <row r="14" spans="1:12" x14ac:dyDescent="0.3">
      <c r="B14" s="14"/>
      <c r="C14" s="37"/>
      <c r="D14" s="14"/>
      <c r="E14" s="14"/>
      <c r="F14" s="56"/>
      <c r="G14" s="61" t="s">
        <v>89</v>
      </c>
      <c r="H14" s="56">
        <f>INDEX(Personaleinsatz!G$8:G$78, 1+ROUNDDOWN((ROW(G13)-ROW(G$8))/5,0),1) * Einstellungen!$D$27</f>
        <v>904.01499999999999</v>
      </c>
      <c r="I14" s="56">
        <f>INDEX(Personaleinsatz!H$8:H$78, 1+ROUNDDOWN((ROW(H13)-ROW(H$8))/5,0),1) * Einstellungen!$D$27</f>
        <v>0</v>
      </c>
      <c r="J14" s="56">
        <f>INDEX(Personaleinsatz!I$8:I$78, 1+ROUNDDOWN((ROW(I13)-ROW(I$8))/5,0),1) * Einstellungen!$D$27</f>
        <v>314.44</v>
      </c>
      <c r="K14" s="56">
        <f>INDEX(Personaleinsatz!J$8:J$78, 1+ROUNDDOWN((ROW(J13)-ROW(J$8))/5,0),1) * Einstellungen!$D$27</f>
        <v>-589.57500000000005</v>
      </c>
      <c r="L14" s="40"/>
    </row>
    <row r="15" spans="1:12" x14ac:dyDescent="0.3">
      <c r="B15" s="14"/>
      <c r="C15" s="37"/>
      <c r="D15" s="14"/>
      <c r="E15" s="14"/>
      <c r="F15" s="56"/>
      <c r="G15" s="61" t="s">
        <v>90</v>
      </c>
      <c r="H15" s="56"/>
      <c r="I15" s="56"/>
      <c r="J15" s="56"/>
      <c r="K15" s="56"/>
      <c r="L15" s="40"/>
    </row>
    <row r="16" spans="1:12" ht="28.8" x14ac:dyDescent="0.3">
      <c r="B16" s="14"/>
      <c r="C16" s="37"/>
      <c r="D16" s="14"/>
      <c r="E16" s="14"/>
      <c r="F16" s="56"/>
      <c r="G16" s="61" t="s">
        <v>91</v>
      </c>
      <c r="H16" s="56"/>
      <c r="I16" s="56"/>
      <c r="J16" s="56"/>
      <c r="K16" s="56"/>
      <c r="L16" s="40"/>
    </row>
    <row r="17" spans="1:12" x14ac:dyDescent="0.3">
      <c r="B17" s="14"/>
      <c r="C17" s="37"/>
      <c r="D17" s="14"/>
      <c r="E17" s="14"/>
      <c r="F17" s="56"/>
      <c r="G17" s="61" t="s">
        <v>92</v>
      </c>
      <c r="H17" s="56"/>
      <c r="I17" s="56"/>
      <c r="J17" s="56"/>
      <c r="K17" s="56"/>
      <c r="L17" s="40"/>
    </row>
    <row r="18" spans="1:12" x14ac:dyDescent="0.3">
      <c r="A18">
        <v>3</v>
      </c>
      <c r="B18" s="19" t="s">
        <v>15</v>
      </c>
      <c r="C18" s="36" t="s">
        <v>40</v>
      </c>
      <c r="D18" s="19"/>
      <c r="E18" s="19">
        <f>GANTT!$F$10</f>
        <v>24</v>
      </c>
      <c r="F18" s="21"/>
      <c r="G18" s="63" t="s">
        <v>4</v>
      </c>
      <c r="H18" s="63">
        <f t="shared" ref="H18" si="5">SUM(H19:H22)</f>
        <v>269.52</v>
      </c>
      <c r="I18" s="63">
        <f t="shared" ref="I18" si="6">SUM(I19:I22)</f>
        <v>0</v>
      </c>
      <c r="J18" s="63">
        <f t="shared" ref="J18" si="7">SUM(J19:J22)</f>
        <v>314.44</v>
      </c>
      <c r="K18" s="63">
        <f t="shared" ref="K18" si="8">SUM(K19:K22)</f>
        <v>44.92</v>
      </c>
      <c r="L18" s="42"/>
    </row>
    <row r="19" spans="1:12" x14ac:dyDescent="0.3">
      <c r="B19" s="19"/>
      <c r="C19" s="36"/>
      <c r="D19" s="19"/>
      <c r="E19" s="19"/>
      <c r="F19" s="21"/>
      <c r="G19" s="62" t="s">
        <v>89</v>
      </c>
      <c r="H19" s="21">
        <f>INDEX(Personaleinsatz!G$8:G$78, 1+ROUNDDOWN((ROW(G18)-ROW(G$8))/5,0),1) * Einstellungen!$D$27</f>
        <v>269.52</v>
      </c>
      <c r="I19" s="21">
        <f>INDEX(Personaleinsatz!H$8:H$78, 1+ROUNDDOWN((ROW(H18)-ROW(H$8))/5,0),1) * Einstellungen!$D$27</f>
        <v>0</v>
      </c>
      <c r="J19" s="21">
        <f>INDEX(Personaleinsatz!I$8:I$78, 1+ROUNDDOWN((ROW(I18)-ROW(I$8))/5,0),1) * Einstellungen!$D$27</f>
        <v>314.44</v>
      </c>
      <c r="K19" s="21">
        <f>INDEX(Personaleinsatz!J$8:J$78, 1+ROUNDDOWN((ROW(J18)-ROW(J$8))/5,0),1) * Einstellungen!$D$27</f>
        <v>44.92</v>
      </c>
      <c r="L19" s="42"/>
    </row>
    <row r="20" spans="1:12" x14ac:dyDescent="0.3">
      <c r="B20" s="19"/>
      <c r="C20" s="36"/>
      <c r="D20" s="19"/>
      <c r="E20" s="19"/>
      <c r="F20" s="21"/>
      <c r="G20" s="62" t="s">
        <v>90</v>
      </c>
      <c r="H20" s="21"/>
      <c r="I20" s="21"/>
      <c r="J20" s="21"/>
      <c r="K20" s="21"/>
      <c r="L20" s="42"/>
    </row>
    <row r="21" spans="1:12" ht="28.8" x14ac:dyDescent="0.3">
      <c r="B21" s="19"/>
      <c r="C21" s="36"/>
      <c r="D21" s="19"/>
      <c r="E21" s="19"/>
      <c r="F21" s="21"/>
      <c r="G21" s="62" t="s">
        <v>91</v>
      </c>
      <c r="H21" s="21"/>
      <c r="I21" s="21"/>
      <c r="J21" s="21"/>
      <c r="K21" s="21"/>
      <c r="L21" s="42"/>
    </row>
    <row r="22" spans="1:12" x14ac:dyDescent="0.3">
      <c r="B22" s="19"/>
      <c r="C22" s="36"/>
      <c r="D22" s="19"/>
      <c r="E22" s="19"/>
      <c r="F22" s="21"/>
      <c r="G22" s="62" t="s">
        <v>92</v>
      </c>
      <c r="H22" s="21"/>
      <c r="I22" s="21"/>
      <c r="J22" s="21"/>
      <c r="K22" s="21"/>
      <c r="L22" s="42"/>
    </row>
    <row r="23" spans="1:12" x14ac:dyDescent="0.3">
      <c r="A23">
        <v>3</v>
      </c>
      <c r="B23" s="19" t="s">
        <v>17</v>
      </c>
      <c r="C23" s="36" t="s">
        <v>41</v>
      </c>
      <c r="D23" s="19"/>
      <c r="E23" s="19">
        <f>GANTT!$F$11</f>
        <v>0</v>
      </c>
      <c r="F23" s="21"/>
      <c r="G23" s="63" t="s">
        <v>4</v>
      </c>
      <c r="H23" s="63">
        <f t="shared" ref="H23" si="9">SUM(H24:H27)</f>
        <v>0</v>
      </c>
      <c r="I23" s="63">
        <f t="shared" ref="I23" si="10">SUM(I24:I27)</f>
        <v>0</v>
      </c>
      <c r="J23" s="63">
        <f t="shared" ref="J23" si="11">SUM(J24:J27)</f>
        <v>0</v>
      </c>
      <c r="K23" s="63">
        <f t="shared" ref="K23" si="12">SUM(K24:K27)</f>
        <v>0</v>
      </c>
      <c r="L23" s="42"/>
    </row>
    <row r="24" spans="1:12" x14ac:dyDescent="0.3">
      <c r="B24" s="19"/>
      <c r="C24" s="36"/>
      <c r="D24" s="19"/>
      <c r="E24" s="19"/>
      <c r="F24" s="21"/>
      <c r="G24" s="62" t="s">
        <v>89</v>
      </c>
      <c r="H24" s="21">
        <f>INDEX(Personaleinsatz!G$8:G$78, 1+ROUNDDOWN((ROW(G23)-ROW(G$8))/5,0),1) * Einstellungen!$D$27</f>
        <v>0</v>
      </c>
      <c r="I24" s="21">
        <f>INDEX(Personaleinsatz!H$8:H$78, 1+ROUNDDOWN((ROW(H23)-ROW(H$8))/5,0),1) * Einstellungen!$D$27</f>
        <v>0</v>
      </c>
      <c r="J24" s="21">
        <f>INDEX(Personaleinsatz!I$8:I$78, 1+ROUNDDOWN((ROW(I23)-ROW(I$8))/5,0),1) * Einstellungen!$D$27</f>
        <v>0</v>
      </c>
      <c r="K24" s="21">
        <f>INDEX(Personaleinsatz!J$8:J$78, 1+ROUNDDOWN((ROW(J23)-ROW(J$8))/5,0),1) * Einstellungen!$D$27</f>
        <v>0</v>
      </c>
      <c r="L24" s="42"/>
    </row>
    <row r="25" spans="1:12" x14ac:dyDescent="0.3">
      <c r="B25" s="19"/>
      <c r="C25" s="36"/>
      <c r="D25" s="19"/>
      <c r="E25" s="19"/>
      <c r="F25" s="21"/>
      <c r="G25" s="62" t="s">
        <v>90</v>
      </c>
      <c r="H25" s="21"/>
      <c r="I25" s="21"/>
      <c r="J25" s="21"/>
      <c r="K25" s="21"/>
      <c r="L25" s="42"/>
    </row>
    <row r="26" spans="1:12" ht="28.8" x14ac:dyDescent="0.3">
      <c r="B26" s="19"/>
      <c r="C26" s="36"/>
      <c r="D26" s="19"/>
      <c r="E26" s="19"/>
      <c r="F26" s="21"/>
      <c r="G26" s="62" t="s">
        <v>91</v>
      </c>
      <c r="H26" s="21"/>
      <c r="I26" s="21"/>
      <c r="J26" s="21"/>
      <c r="K26" s="21"/>
      <c r="L26" s="42"/>
    </row>
    <row r="27" spans="1:12" x14ac:dyDescent="0.3">
      <c r="B27" s="19"/>
      <c r="C27" s="36"/>
      <c r="D27" s="19"/>
      <c r="E27" s="19"/>
      <c r="F27" s="21"/>
      <c r="G27" s="62" t="s">
        <v>92</v>
      </c>
      <c r="H27" s="21"/>
      <c r="I27" s="21"/>
      <c r="J27" s="21"/>
      <c r="K27" s="21"/>
      <c r="L27" s="42"/>
    </row>
    <row r="28" spans="1:12" x14ac:dyDescent="0.3">
      <c r="A28">
        <v>3</v>
      </c>
      <c r="B28" s="19" t="s">
        <v>19</v>
      </c>
      <c r="C28" s="36" t="s">
        <v>42</v>
      </c>
      <c r="D28" s="19"/>
      <c r="E28" s="19">
        <f>GANTT!$F$12</f>
        <v>7.5</v>
      </c>
      <c r="F28" s="21"/>
      <c r="G28" s="63" t="s">
        <v>4</v>
      </c>
      <c r="H28" s="63">
        <f t="shared" ref="H28" si="13">SUM(H29:H32)</f>
        <v>84.225000000000009</v>
      </c>
      <c r="I28" s="63">
        <f t="shared" ref="I28" si="14">SUM(I29:I32)</f>
        <v>0</v>
      </c>
      <c r="J28" s="63">
        <f t="shared" ref="J28" si="15">SUM(J29:J32)</f>
        <v>0</v>
      </c>
      <c r="K28" s="63">
        <f t="shared" ref="K28" si="16">SUM(K29:K32)</f>
        <v>-84.225000000000009</v>
      </c>
      <c r="L28" s="42"/>
    </row>
    <row r="29" spans="1:12" x14ac:dyDescent="0.3">
      <c r="B29" s="19"/>
      <c r="C29" s="36"/>
      <c r="D29" s="19"/>
      <c r="E29" s="19"/>
      <c r="F29" s="21"/>
      <c r="G29" s="62" t="s">
        <v>89</v>
      </c>
      <c r="H29" s="21">
        <f>INDEX(Personaleinsatz!G$8:G$78, 1+ROUNDDOWN((ROW(G28)-ROW(G$8))/5,0),1) * Einstellungen!$D$27</f>
        <v>84.225000000000009</v>
      </c>
      <c r="I29" s="21">
        <f>INDEX(Personaleinsatz!H$8:H$78, 1+ROUNDDOWN((ROW(H28)-ROW(H$8))/5,0),1) * Einstellungen!$D$27</f>
        <v>0</v>
      </c>
      <c r="J29" s="21">
        <f>INDEX(Personaleinsatz!I$8:I$78, 1+ROUNDDOWN((ROW(I28)-ROW(I$8))/5,0),1) * Einstellungen!$D$27</f>
        <v>0</v>
      </c>
      <c r="K29" s="21">
        <f>INDEX(Personaleinsatz!J$8:J$78, 1+ROUNDDOWN((ROW(J28)-ROW(J$8))/5,0),1) * Einstellungen!$D$27</f>
        <v>-84.225000000000009</v>
      </c>
      <c r="L29" s="42"/>
    </row>
    <row r="30" spans="1:12" x14ac:dyDescent="0.3">
      <c r="B30" s="19"/>
      <c r="C30" s="36"/>
      <c r="D30" s="19"/>
      <c r="E30" s="19"/>
      <c r="F30" s="21"/>
      <c r="G30" s="62" t="s">
        <v>90</v>
      </c>
      <c r="H30" s="21"/>
      <c r="I30" s="21"/>
      <c r="J30" s="21"/>
      <c r="K30" s="21"/>
      <c r="L30" s="42"/>
    </row>
    <row r="31" spans="1:12" ht="28.8" x14ac:dyDescent="0.3">
      <c r="B31" s="19"/>
      <c r="C31" s="36"/>
      <c r="D31" s="19"/>
      <c r="E31" s="19"/>
      <c r="F31" s="21"/>
      <c r="G31" s="62" t="s">
        <v>91</v>
      </c>
      <c r="H31" s="21"/>
      <c r="I31" s="21"/>
      <c r="J31" s="21"/>
      <c r="K31" s="21"/>
      <c r="L31" s="42"/>
    </row>
    <row r="32" spans="1:12" x14ac:dyDescent="0.3">
      <c r="B32" s="19"/>
      <c r="C32" s="36"/>
      <c r="D32" s="19"/>
      <c r="E32" s="19"/>
      <c r="F32" s="21"/>
      <c r="G32" s="62" t="s">
        <v>92</v>
      </c>
      <c r="H32" s="21"/>
      <c r="I32" s="21"/>
      <c r="J32" s="21"/>
      <c r="K32" s="21"/>
      <c r="L32" s="42"/>
    </row>
    <row r="33" spans="1:12" x14ac:dyDescent="0.3">
      <c r="A33">
        <v>3</v>
      </c>
      <c r="B33" s="19" t="s">
        <v>43</v>
      </c>
      <c r="C33" s="36" t="s">
        <v>44</v>
      </c>
      <c r="D33" s="19"/>
      <c r="E33" s="19">
        <f>GANTT!$F$13</f>
        <v>15</v>
      </c>
      <c r="F33" s="21"/>
      <c r="G33" s="63" t="s">
        <v>4</v>
      </c>
      <c r="H33" s="63">
        <f t="shared" ref="H33" si="17">SUM(H34:H37)</f>
        <v>168.45000000000002</v>
      </c>
      <c r="I33" s="63">
        <f t="shared" ref="I33" si="18">SUM(I34:I37)</f>
        <v>0</v>
      </c>
      <c r="J33" s="63">
        <f t="shared" ref="J33" si="19">SUM(J34:J37)</f>
        <v>0</v>
      </c>
      <c r="K33" s="63">
        <f t="shared" ref="K33" si="20">SUM(K34:K37)</f>
        <v>-168.45000000000002</v>
      </c>
      <c r="L33" s="42"/>
    </row>
    <row r="34" spans="1:12" x14ac:dyDescent="0.3">
      <c r="B34" s="19"/>
      <c r="C34" s="36"/>
      <c r="D34" s="19"/>
      <c r="E34" s="19"/>
      <c r="F34" s="21"/>
      <c r="G34" s="62" t="s">
        <v>89</v>
      </c>
      <c r="H34" s="21">
        <f>INDEX(Personaleinsatz!G$8:G$78, 1+ROUNDDOWN((ROW(G33)-ROW(G$8))/5,0),1) * Einstellungen!$D$27</f>
        <v>168.45000000000002</v>
      </c>
      <c r="I34" s="21">
        <f>INDEX(Personaleinsatz!H$8:H$78, 1+ROUNDDOWN((ROW(H33)-ROW(H$8))/5,0),1) * Einstellungen!$D$27</f>
        <v>0</v>
      </c>
      <c r="J34" s="21">
        <f>INDEX(Personaleinsatz!I$8:I$78, 1+ROUNDDOWN((ROW(I33)-ROW(I$8))/5,0),1) * Einstellungen!$D$27</f>
        <v>0</v>
      </c>
      <c r="K34" s="21">
        <f>INDEX(Personaleinsatz!J$8:J$78, 1+ROUNDDOWN((ROW(J33)-ROW(J$8))/5,0),1) * Einstellungen!$D$27</f>
        <v>-168.45000000000002</v>
      </c>
      <c r="L34" s="42"/>
    </row>
    <row r="35" spans="1:12" x14ac:dyDescent="0.3">
      <c r="B35" s="19"/>
      <c r="C35" s="36"/>
      <c r="D35" s="19"/>
      <c r="E35" s="19"/>
      <c r="F35" s="21"/>
      <c r="G35" s="62" t="s">
        <v>90</v>
      </c>
      <c r="H35" s="21"/>
      <c r="I35" s="21"/>
      <c r="J35" s="21"/>
      <c r="K35" s="21"/>
      <c r="L35" s="42"/>
    </row>
    <row r="36" spans="1:12" ht="28.8" x14ac:dyDescent="0.3">
      <c r="B36" s="19"/>
      <c r="C36" s="36"/>
      <c r="D36" s="19"/>
      <c r="E36" s="19"/>
      <c r="F36" s="21"/>
      <c r="G36" s="62" t="s">
        <v>91</v>
      </c>
      <c r="H36" s="21"/>
      <c r="I36" s="21"/>
      <c r="J36" s="21"/>
      <c r="K36" s="21"/>
      <c r="L36" s="42"/>
    </row>
    <row r="37" spans="1:12" x14ac:dyDescent="0.3">
      <c r="B37" s="19"/>
      <c r="C37" s="36"/>
      <c r="D37" s="19"/>
      <c r="E37" s="19"/>
      <c r="F37" s="21"/>
      <c r="G37" s="62" t="s">
        <v>92</v>
      </c>
      <c r="H37" s="21"/>
      <c r="I37" s="21"/>
      <c r="J37" s="21"/>
      <c r="K37" s="21"/>
      <c r="L37" s="42"/>
    </row>
    <row r="38" spans="1:12" x14ac:dyDescent="0.3">
      <c r="A38">
        <v>3</v>
      </c>
      <c r="B38" s="19" t="s">
        <v>45</v>
      </c>
      <c r="C38" s="36" t="s">
        <v>46</v>
      </c>
      <c r="D38" s="19"/>
      <c r="E38" s="19">
        <f>GANTT!$F$14</f>
        <v>10</v>
      </c>
      <c r="F38" s="21"/>
      <c r="G38" s="63" t="s">
        <v>4</v>
      </c>
      <c r="H38" s="63">
        <f t="shared" ref="H38" si="21">SUM(H39:H42)</f>
        <v>112.30000000000001</v>
      </c>
      <c r="I38" s="63">
        <f t="shared" ref="I38" si="22">SUM(I39:I42)</f>
        <v>0</v>
      </c>
      <c r="J38" s="63">
        <f t="shared" ref="J38" si="23">SUM(J39:J42)</f>
        <v>0</v>
      </c>
      <c r="K38" s="63">
        <f t="shared" ref="K38" si="24">SUM(K39:K42)</f>
        <v>-112.30000000000001</v>
      </c>
      <c r="L38" s="42"/>
    </row>
    <row r="39" spans="1:12" x14ac:dyDescent="0.3">
      <c r="B39" s="19"/>
      <c r="C39" s="36"/>
      <c r="D39" s="19"/>
      <c r="E39" s="19"/>
      <c r="F39" s="21"/>
      <c r="G39" s="62" t="s">
        <v>89</v>
      </c>
      <c r="H39" s="21">
        <f>INDEX(Personaleinsatz!G$8:G$78, 1+ROUNDDOWN((ROW(G38)-ROW(G$8))/5,0),1) * Einstellungen!$D$27</f>
        <v>112.30000000000001</v>
      </c>
      <c r="I39" s="21">
        <f>INDEX(Personaleinsatz!H$8:H$78, 1+ROUNDDOWN((ROW(H38)-ROW(H$8))/5,0),1) * Einstellungen!$D$27</f>
        <v>0</v>
      </c>
      <c r="J39" s="21">
        <f>INDEX(Personaleinsatz!I$8:I$78, 1+ROUNDDOWN((ROW(I38)-ROW(I$8))/5,0),1) * Einstellungen!$D$27</f>
        <v>0</v>
      </c>
      <c r="K39" s="21">
        <f>INDEX(Personaleinsatz!J$8:J$78, 1+ROUNDDOWN((ROW(J38)-ROW(J$8))/5,0),1) * Einstellungen!$D$27</f>
        <v>-112.30000000000001</v>
      </c>
      <c r="L39" s="42"/>
    </row>
    <row r="40" spans="1:12" x14ac:dyDescent="0.3">
      <c r="B40" s="19"/>
      <c r="C40" s="36"/>
      <c r="D40" s="19"/>
      <c r="E40" s="19"/>
      <c r="F40" s="21"/>
      <c r="G40" s="62" t="s">
        <v>90</v>
      </c>
      <c r="H40" s="21"/>
      <c r="I40" s="21"/>
      <c r="J40" s="21"/>
      <c r="K40" s="21"/>
      <c r="L40" s="42"/>
    </row>
    <row r="41" spans="1:12" ht="28.8" x14ac:dyDescent="0.3">
      <c r="B41" s="19"/>
      <c r="C41" s="36"/>
      <c r="D41" s="19"/>
      <c r="E41" s="19"/>
      <c r="F41" s="21"/>
      <c r="G41" s="62" t="s">
        <v>91</v>
      </c>
      <c r="H41" s="21"/>
      <c r="I41" s="21"/>
      <c r="J41" s="21"/>
      <c r="K41" s="21"/>
      <c r="L41" s="42"/>
    </row>
    <row r="42" spans="1:12" x14ac:dyDescent="0.3">
      <c r="B42" s="19"/>
      <c r="C42" s="36"/>
      <c r="D42" s="19"/>
      <c r="E42" s="19"/>
      <c r="F42" s="21"/>
      <c r="G42" s="62" t="s">
        <v>92</v>
      </c>
      <c r="H42" s="21"/>
      <c r="I42" s="21"/>
      <c r="J42" s="21"/>
      <c r="K42" s="21"/>
      <c r="L42" s="42"/>
    </row>
    <row r="43" spans="1:12" x14ac:dyDescent="0.3">
      <c r="A43">
        <v>3</v>
      </c>
      <c r="B43" s="19" t="s">
        <v>47</v>
      </c>
      <c r="C43" s="36" t="s">
        <v>48</v>
      </c>
      <c r="D43" s="19"/>
      <c r="E43" s="19">
        <f>GANTT!$F$15</f>
        <v>24</v>
      </c>
      <c r="F43" s="21"/>
      <c r="G43" s="63" t="s">
        <v>4</v>
      </c>
      <c r="H43" s="63">
        <f t="shared" ref="H43" si="25">SUM(H44:H47)</f>
        <v>269.52</v>
      </c>
      <c r="I43" s="63">
        <f t="shared" ref="I43" si="26">SUM(I44:I47)</f>
        <v>0</v>
      </c>
      <c r="J43" s="63">
        <f t="shared" ref="J43" si="27">SUM(J44:J47)</f>
        <v>0</v>
      </c>
      <c r="K43" s="63">
        <f t="shared" ref="K43" si="28">SUM(K44:K47)</f>
        <v>-269.52</v>
      </c>
      <c r="L43" s="42"/>
    </row>
    <row r="44" spans="1:12" x14ac:dyDescent="0.3">
      <c r="B44" s="19"/>
      <c r="C44" s="36"/>
      <c r="D44" s="19"/>
      <c r="E44" s="19"/>
      <c r="F44" s="21"/>
      <c r="G44" s="62" t="s">
        <v>89</v>
      </c>
      <c r="H44" s="21">
        <f>INDEX(Personaleinsatz!G$8:G$78, 1+ROUNDDOWN((ROW(G43)-ROW(G$8))/5,0),1) * Einstellungen!$D$27</f>
        <v>269.52</v>
      </c>
      <c r="I44" s="21">
        <f>INDEX(Personaleinsatz!H$8:H$78, 1+ROUNDDOWN((ROW(H43)-ROW(H$8))/5,0),1) * Einstellungen!$D$27</f>
        <v>0</v>
      </c>
      <c r="J44" s="21">
        <f>INDEX(Personaleinsatz!I$8:I$78, 1+ROUNDDOWN((ROW(I43)-ROW(I$8))/5,0),1) * Einstellungen!$D$27</f>
        <v>0</v>
      </c>
      <c r="K44" s="21">
        <f>INDEX(Personaleinsatz!J$8:J$78, 1+ROUNDDOWN((ROW(J43)-ROW(J$8))/5,0),1) * Einstellungen!$D$27</f>
        <v>-269.52</v>
      </c>
      <c r="L44" s="42"/>
    </row>
    <row r="45" spans="1:12" x14ac:dyDescent="0.3">
      <c r="B45" s="19"/>
      <c r="C45" s="36"/>
      <c r="D45" s="19"/>
      <c r="E45" s="19"/>
      <c r="F45" s="21"/>
      <c r="G45" s="62" t="s">
        <v>90</v>
      </c>
      <c r="H45" s="21"/>
      <c r="I45" s="21"/>
      <c r="J45" s="21"/>
      <c r="K45" s="21"/>
      <c r="L45" s="42"/>
    </row>
    <row r="46" spans="1:12" ht="28.8" x14ac:dyDescent="0.3">
      <c r="B46" s="19"/>
      <c r="C46" s="36"/>
      <c r="D46" s="19"/>
      <c r="E46" s="19"/>
      <c r="F46" s="21"/>
      <c r="G46" s="62" t="s">
        <v>91</v>
      </c>
      <c r="H46" s="21"/>
      <c r="I46" s="21"/>
      <c r="J46" s="21"/>
      <c r="K46" s="21"/>
      <c r="L46" s="42"/>
    </row>
    <row r="47" spans="1:12" x14ac:dyDescent="0.3">
      <c r="B47" s="19"/>
      <c r="C47" s="36"/>
      <c r="D47" s="19"/>
      <c r="E47" s="19"/>
      <c r="F47" s="21"/>
      <c r="G47" s="62" t="s">
        <v>92</v>
      </c>
      <c r="H47" s="21"/>
      <c r="I47" s="21"/>
      <c r="J47" s="21"/>
      <c r="K47" s="21"/>
      <c r="L47" s="42"/>
    </row>
    <row r="48" spans="1:12" x14ac:dyDescent="0.3">
      <c r="A48">
        <v>3</v>
      </c>
      <c r="B48" s="19" t="s">
        <v>49</v>
      </c>
      <c r="C48" s="36" t="s">
        <v>50</v>
      </c>
      <c r="D48" s="19"/>
      <c r="E48" s="19">
        <f>GANTT!$F$16</f>
        <v>0</v>
      </c>
      <c r="F48" s="21"/>
      <c r="G48" s="63" t="s">
        <v>4</v>
      </c>
      <c r="H48" s="63">
        <f t="shared" ref="H48" si="29">SUM(H49:H52)</f>
        <v>0</v>
      </c>
      <c r="I48" s="63">
        <f t="shared" ref="I48" si="30">SUM(I49:I52)</f>
        <v>0</v>
      </c>
      <c r="J48" s="63">
        <f t="shared" ref="J48" si="31">SUM(J49:J52)</f>
        <v>0</v>
      </c>
      <c r="K48" s="63">
        <f t="shared" ref="K48" si="32">SUM(K49:K52)</f>
        <v>0</v>
      </c>
      <c r="L48" s="42"/>
    </row>
    <row r="49" spans="1:12" x14ac:dyDescent="0.3">
      <c r="B49" s="19"/>
      <c r="C49" s="36"/>
      <c r="D49" s="19"/>
      <c r="E49" s="19"/>
      <c r="F49" s="21"/>
      <c r="G49" s="62" t="s">
        <v>89</v>
      </c>
      <c r="H49" s="21">
        <f>INDEX(Personaleinsatz!G$8:G$78, 1+ROUNDDOWN((ROW(G48)-ROW(G$8))/5,0),1) * Einstellungen!$D$27</f>
        <v>0</v>
      </c>
      <c r="I49" s="21">
        <f>INDEX(Personaleinsatz!H$8:H$78, 1+ROUNDDOWN((ROW(H48)-ROW(H$8))/5,0),1) * Einstellungen!$D$27</f>
        <v>0</v>
      </c>
      <c r="J49" s="21">
        <f>INDEX(Personaleinsatz!I$8:I$78, 1+ROUNDDOWN((ROW(I48)-ROW(I$8))/5,0),1) * Einstellungen!$D$27</f>
        <v>0</v>
      </c>
      <c r="K49" s="21">
        <f>INDEX(Personaleinsatz!J$8:J$78, 1+ROUNDDOWN((ROW(J48)-ROW(J$8))/5,0),1) * Einstellungen!$D$27</f>
        <v>0</v>
      </c>
      <c r="L49" s="42"/>
    </row>
    <row r="50" spans="1:12" x14ac:dyDescent="0.3">
      <c r="B50" s="19"/>
      <c r="C50" s="36"/>
      <c r="D50" s="19"/>
      <c r="E50" s="19"/>
      <c r="F50" s="21"/>
      <c r="G50" s="62" t="s">
        <v>90</v>
      </c>
      <c r="H50" s="21"/>
      <c r="I50" s="21"/>
      <c r="J50" s="21"/>
      <c r="K50" s="21"/>
      <c r="L50" s="42"/>
    </row>
    <row r="51" spans="1:12" ht="28.8" x14ac:dyDescent="0.3">
      <c r="B51" s="19"/>
      <c r="C51" s="36"/>
      <c r="D51" s="19"/>
      <c r="E51" s="19"/>
      <c r="F51" s="21"/>
      <c r="G51" s="62" t="s">
        <v>91</v>
      </c>
      <c r="H51" s="21"/>
      <c r="I51" s="21"/>
      <c r="J51" s="21"/>
      <c r="K51" s="21"/>
      <c r="L51" s="42"/>
    </row>
    <row r="52" spans="1:12" x14ac:dyDescent="0.3">
      <c r="B52" s="19"/>
      <c r="C52" s="36"/>
      <c r="D52" s="19"/>
      <c r="E52" s="19"/>
      <c r="F52" s="21"/>
      <c r="G52" s="62" t="s">
        <v>92</v>
      </c>
      <c r="H52" s="21"/>
      <c r="I52" s="21"/>
      <c r="J52" s="21"/>
      <c r="K52" s="21"/>
      <c r="L52" s="42"/>
    </row>
    <row r="53" spans="1:12" x14ac:dyDescent="0.3">
      <c r="A53">
        <v>2</v>
      </c>
      <c r="B53" s="14" t="s">
        <v>51</v>
      </c>
      <c r="C53" s="37" t="s">
        <v>52</v>
      </c>
      <c r="D53" s="14"/>
      <c r="E53" s="14">
        <f>GANTT!$F$17</f>
        <v>42</v>
      </c>
      <c r="F53" s="56"/>
      <c r="G53" s="56" t="s">
        <v>4</v>
      </c>
      <c r="H53" s="56">
        <f t="shared" ref="H53" si="33">SUM(H54:H57)</f>
        <v>471.66</v>
      </c>
      <c r="I53" s="56">
        <f t="shared" ref="I53" si="34">SUM(I54:I57)</f>
        <v>0</v>
      </c>
      <c r="J53" s="56">
        <f t="shared" ref="J53" si="35">SUM(J54:J57)</f>
        <v>0</v>
      </c>
      <c r="K53" s="56">
        <f t="shared" ref="K53" si="36">SUM(K54:K57)</f>
        <v>-471.66</v>
      </c>
      <c r="L53" s="40"/>
    </row>
    <row r="54" spans="1:12" x14ac:dyDescent="0.3">
      <c r="B54" s="14"/>
      <c r="C54" s="37"/>
      <c r="D54" s="14"/>
      <c r="E54" s="14"/>
      <c r="F54" s="56"/>
      <c r="G54" s="61" t="s">
        <v>89</v>
      </c>
      <c r="H54" s="56">
        <f>INDEX(Personaleinsatz!G$8:G$78, 1+ROUNDDOWN((ROW(G53)-ROW(G$8))/5,0),1) * Einstellungen!$D$27</f>
        <v>471.66</v>
      </c>
      <c r="I54" s="56">
        <f>INDEX(Personaleinsatz!H$8:H$78, 1+ROUNDDOWN((ROW(H53)-ROW(H$8))/5,0),1) * Einstellungen!$D$27</f>
        <v>0</v>
      </c>
      <c r="J54" s="56">
        <f>INDEX(Personaleinsatz!I$8:I$78, 1+ROUNDDOWN((ROW(I53)-ROW(I$8))/5,0),1) * Einstellungen!$D$27</f>
        <v>0</v>
      </c>
      <c r="K54" s="56">
        <f>INDEX(Personaleinsatz!J$8:J$78, 1+ROUNDDOWN((ROW(J53)-ROW(J$8))/5,0),1) * Einstellungen!$D$27</f>
        <v>-471.66</v>
      </c>
      <c r="L54" s="40"/>
    </row>
    <row r="55" spans="1:12" x14ac:dyDescent="0.3">
      <c r="B55" s="14"/>
      <c r="C55" s="37"/>
      <c r="D55" s="14"/>
      <c r="E55" s="14"/>
      <c r="F55" s="56"/>
      <c r="G55" s="61" t="s">
        <v>90</v>
      </c>
      <c r="H55" s="56"/>
      <c r="I55" s="56"/>
      <c r="J55" s="56"/>
      <c r="K55" s="56"/>
      <c r="L55" s="40"/>
    </row>
    <row r="56" spans="1:12" ht="28.8" x14ac:dyDescent="0.3">
      <c r="B56" s="14"/>
      <c r="C56" s="37"/>
      <c r="D56" s="14"/>
      <c r="E56" s="14"/>
      <c r="F56" s="56"/>
      <c r="G56" s="61" t="s">
        <v>91</v>
      </c>
      <c r="H56" s="56"/>
      <c r="I56" s="56"/>
      <c r="J56" s="56"/>
      <c r="K56" s="56"/>
      <c r="L56" s="40"/>
    </row>
    <row r="57" spans="1:12" x14ac:dyDescent="0.3">
      <c r="B57" s="14"/>
      <c r="C57" s="37"/>
      <c r="D57" s="14"/>
      <c r="E57" s="14"/>
      <c r="F57" s="56"/>
      <c r="G57" s="61" t="s">
        <v>92</v>
      </c>
      <c r="H57" s="56"/>
      <c r="I57" s="56"/>
      <c r="J57" s="56"/>
      <c r="K57" s="56"/>
      <c r="L57" s="40"/>
    </row>
    <row r="58" spans="1:12" x14ac:dyDescent="0.3">
      <c r="A58">
        <v>3</v>
      </c>
      <c r="B58" s="19" t="s">
        <v>53</v>
      </c>
      <c r="C58" s="36" t="s">
        <v>54</v>
      </c>
      <c r="D58" s="19"/>
      <c r="E58" s="19">
        <f>GANTT!$F$18</f>
        <v>12</v>
      </c>
      <c r="F58" s="21"/>
      <c r="G58" s="63" t="s">
        <v>4</v>
      </c>
      <c r="H58" s="63">
        <f t="shared" ref="H58" si="37">SUM(H59:H62)</f>
        <v>134.76</v>
      </c>
      <c r="I58" s="63">
        <f t="shared" ref="I58" si="38">SUM(I59:I62)</f>
        <v>0</v>
      </c>
      <c r="J58" s="63">
        <f t="shared" ref="J58" si="39">SUM(J59:J62)</f>
        <v>0</v>
      </c>
      <c r="K58" s="63">
        <f t="shared" ref="K58" si="40">SUM(K59:K62)</f>
        <v>-134.76</v>
      </c>
      <c r="L58" s="42"/>
    </row>
    <row r="59" spans="1:12" x14ac:dyDescent="0.3">
      <c r="B59" s="19"/>
      <c r="C59" s="36"/>
      <c r="D59" s="19"/>
      <c r="E59" s="19"/>
      <c r="F59" s="21"/>
      <c r="G59" s="62" t="s">
        <v>89</v>
      </c>
      <c r="H59" s="21">
        <f>INDEX(Personaleinsatz!G$8:G$78, 1+ROUNDDOWN((ROW(G58)-ROW(G$8))/5,0),1) * Einstellungen!$D$27</f>
        <v>134.76</v>
      </c>
      <c r="I59" s="21">
        <f>INDEX(Personaleinsatz!H$8:H$78, 1+ROUNDDOWN((ROW(H58)-ROW(H$8))/5,0),1) * Einstellungen!$D$27</f>
        <v>0</v>
      </c>
      <c r="J59" s="21">
        <f>INDEX(Personaleinsatz!I$8:I$78, 1+ROUNDDOWN((ROW(I58)-ROW(I$8))/5,0),1) * Einstellungen!$D$27</f>
        <v>0</v>
      </c>
      <c r="K59" s="21">
        <f>INDEX(Personaleinsatz!J$8:J$78, 1+ROUNDDOWN((ROW(J58)-ROW(J$8))/5,0),1) * Einstellungen!$D$27</f>
        <v>-134.76</v>
      </c>
      <c r="L59" s="42"/>
    </row>
    <row r="60" spans="1:12" x14ac:dyDescent="0.3">
      <c r="B60" s="19"/>
      <c r="C60" s="36"/>
      <c r="D60" s="19"/>
      <c r="E60" s="19"/>
      <c r="F60" s="21"/>
      <c r="G60" s="62" t="s">
        <v>90</v>
      </c>
      <c r="H60" s="21"/>
      <c r="I60" s="21"/>
      <c r="J60" s="21"/>
      <c r="K60" s="21"/>
      <c r="L60" s="42"/>
    </row>
    <row r="61" spans="1:12" ht="28.8" x14ac:dyDescent="0.3">
      <c r="B61" s="19"/>
      <c r="C61" s="36"/>
      <c r="D61" s="19"/>
      <c r="E61" s="19"/>
      <c r="F61" s="21"/>
      <c r="G61" s="62" t="s">
        <v>91</v>
      </c>
      <c r="H61" s="21"/>
      <c r="I61" s="21"/>
      <c r="J61" s="21"/>
      <c r="K61" s="21"/>
      <c r="L61" s="42"/>
    </row>
    <row r="62" spans="1:12" x14ac:dyDescent="0.3">
      <c r="B62" s="19"/>
      <c r="C62" s="36"/>
      <c r="D62" s="19"/>
      <c r="E62" s="19"/>
      <c r="F62" s="21"/>
      <c r="G62" s="62" t="s">
        <v>92</v>
      </c>
      <c r="H62" s="21"/>
      <c r="I62" s="21"/>
      <c r="J62" s="21"/>
      <c r="K62" s="21"/>
      <c r="L62" s="42"/>
    </row>
    <row r="63" spans="1:12" x14ac:dyDescent="0.3">
      <c r="A63">
        <v>3</v>
      </c>
      <c r="B63" s="19" t="s">
        <v>55</v>
      </c>
      <c r="C63" s="36" t="s">
        <v>56</v>
      </c>
      <c r="D63" s="19"/>
      <c r="E63" s="19">
        <f>GANTT!$F$19</f>
        <v>6</v>
      </c>
      <c r="F63" s="21"/>
      <c r="G63" s="63" t="s">
        <v>4</v>
      </c>
      <c r="H63" s="63">
        <f t="shared" ref="H63" si="41">SUM(H64:H67)</f>
        <v>67.38</v>
      </c>
      <c r="I63" s="63">
        <f t="shared" ref="I63" si="42">SUM(I64:I67)</f>
        <v>0</v>
      </c>
      <c r="J63" s="63">
        <f t="shared" ref="J63" si="43">SUM(J64:J67)</f>
        <v>0</v>
      </c>
      <c r="K63" s="63">
        <f t="shared" ref="K63" si="44">SUM(K64:K67)</f>
        <v>-67.38</v>
      </c>
      <c r="L63" s="42"/>
    </row>
    <row r="64" spans="1:12" x14ac:dyDescent="0.3">
      <c r="B64" s="19"/>
      <c r="C64" s="36"/>
      <c r="D64" s="19"/>
      <c r="E64" s="19"/>
      <c r="F64" s="21"/>
      <c r="G64" s="62" t="s">
        <v>89</v>
      </c>
      <c r="H64" s="21">
        <f>INDEX(Personaleinsatz!G$8:G$78, 1+ROUNDDOWN((ROW(G63)-ROW(G$8))/5,0),1) * Einstellungen!$D$27</f>
        <v>67.38</v>
      </c>
      <c r="I64" s="21">
        <f>INDEX(Personaleinsatz!H$8:H$78, 1+ROUNDDOWN((ROW(H63)-ROW(H$8))/5,0),1) * Einstellungen!$D$27</f>
        <v>0</v>
      </c>
      <c r="J64" s="21">
        <f>INDEX(Personaleinsatz!I$8:I$78, 1+ROUNDDOWN((ROW(I63)-ROW(I$8))/5,0),1) * Einstellungen!$D$27</f>
        <v>0</v>
      </c>
      <c r="K64" s="21">
        <f>INDEX(Personaleinsatz!J$8:J$78, 1+ROUNDDOWN((ROW(J63)-ROW(J$8))/5,0),1) * Einstellungen!$D$27</f>
        <v>-67.38</v>
      </c>
      <c r="L64" s="42"/>
    </row>
    <row r="65" spans="1:12" x14ac:dyDescent="0.3">
      <c r="B65" s="19"/>
      <c r="C65" s="36"/>
      <c r="D65" s="19"/>
      <c r="E65" s="19"/>
      <c r="F65" s="21"/>
      <c r="G65" s="62" t="s">
        <v>90</v>
      </c>
      <c r="H65" s="21"/>
      <c r="I65" s="21"/>
      <c r="J65" s="21"/>
      <c r="K65" s="21"/>
      <c r="L65" s="42"/>
    </row>
    <row r="66" spans="1:12" ht="28.8" x14ac:dyDescent="0.3">
      <c r="B66" s="19"/>
      <c r="C66" s="36"/>
      <c r="D66" s="19"/>
      <c r="E66" s="19"/>
      <c r="F66" s="21"/>
      <c r="G66" s="62" t="s">
        <v>91</v>
      </c>
      <c r="H66" s="21"/>
      <c r="I66" s="21"/>
      <c r="J66" s="21"/>
      <c r="K66" s="21"/>
      <c r="L66" s="42"/>
    </row>
    <row r="67" spans="1:12" x14ac:dyDescent="0.3">
      <c r="B67" s="19"/>
      <c r="C67" s="36"/>
      <c r="D67" s="19"/>
      <c r="E67" s="19"/>
      <c r="F67" s="21"/>
      <c r="G67" s="62" t="s">
        <v>92</v>
      </c>
      <c r="H67" s="21"/>
      <c r="I67" s="21"/>
      <c r="J67" s="21"/>
      <c r="K67" s="21"/>
      <c r="L67" s="42"/>
    </row>
    <row r="68" spans="1:12" x14ac:dyDescent="0.3">
      <c r="A68">
        <v>3</v>
      </c>
      <c r="B68" s="19" t="s">
        <v>57</v>
      </c>
      <c r="C68" s="36" t="s">
        <v>58</v>
      </c>
      <c r="D68" s="19"/>
      <c r="E68" s="19">
        <f>GANTT!$F$20</f>
        <v>24</v>
      </c>
      <c r="F68" s="21"/>
      <c r="G68" s="63" t="s">
        <v>4</v>
      </c>
      <c r="H68" s="63">
        <f t="shared" ref="H68" si="45">SUM(H69:H72)</f>
        <v>269.52</v>
      </c>
      <c r="I68" s="63">
        <f t="shared" ref="I68" si="46">SUM(I69:I72)</f>
        <v>0</v>
      </c>
      <c r="J68" s="63">
        <f t="shared" ref="J68" si="47">SUM(J69:J72)</f>
        <v>0</v>
      </c>
      <c r="K68" s="63">
        <f t="shared" ref="K68" si="48">SUM(K69:K72)</f>
        <v>-269.52</v>
      </c>
      <c r="L68" s="42"/>
    </row>
    <row r="69" spans="1:12" x14ac:dyDescent="0.3">
      <c r="B69" s="19"/>
      <c r="C69" s="36"/>
      <c r="D69" s="19"/>
      <c r="E69" s="19"/>
      <c r="F69" s="21"/>
      <c r="G69" s="62" t="s">
        <v>89</v>
      </c>
      <c r="H69" s="21">
        <f>INDEX(Personaleinsatz!G$8:G$78, 1+ROUNDDOWN((ROW(G68)-ROW(G$8))/5,0),1) * Einstellungen!$D$27</f>
        <v>269.52</v>
      </c>
      <c r="I69" s="21">
        <f>INDEX(Personaleinsatz!H$8:H$78, 1+ROUNDDOWN((ROW(H68)-ROW(H$8))/5,0),1) * Einstellungen!$D$27</f>
        <v>0</v>
      </c>
      <c r="J69" s="21">
        <f>INDEX(Personaleinsatz!I$8:I$78, 1+ROUNDDOWN((ROW(I68)-ROW(I$8))/5,0),1) * Einstellungen!$D$27</f>
        <v>0</v>
      </c>
      <c r="K69" s="21">
        <f>INDEX(Personaleinsatz!J$8:J$78, 1+ROUNDDOWN((ROW(J68)-ROW(J$8))/5,0),1) * Einstellungen!$D$27</f>
        <v>-269.52</v>
      </c>
      <c r="L69" s="42"/>
    </row>
    <row r="70" spans="1:12" x14ac:dyDescent="0.3">
      <c r="B70" s="19"/>
      <c r="C70" s="36"/>
      <c r="D70" s="19"/>
      <c r="E70" s="19"/>
      <c r="F70" s="21"/>
      <c r="G70" s="62" t="s">
        <v>90</v>
      </c>
      <c r="H70" s="21"/>
      <c r="I70" s="21"/>
      <c r="J70" s="21"/>
      <c r="K70" s="21"/>
      <c r="L70" s="42"/>
    </row>
    <row r="71" spans="1:12" ht="28.8" x14ac:dyDescent="0.3">
      <c r="B71" s="19"/>
      <c r="C71" s="36"/>
      <c r="D71" s="19"/>
      <c r="E71" s="19"/>
      <c r="F71" s="21"/>
      <c r="G71" s="62" t="s">
        <v>91</v>
      </c>
      <c r="H71" s="21"/>
      <c r="I71" s="21"/>
      <c r="J71" s="21"/>
      <c r="K71" s="21"/>
      <c r="L71" s="42"/>
    </row>
    <row r="72" spans="1:12" x14ac:dyDescent="0.3">
      <c r="B72" s="19"/>
      <c r="C72" s="36"/>
      <c r="D72" s="19"/>
      <c r="E72" s="19"/>
      <c r="F72" s="21"/>
      <c r="G72" s="62" t="s">
        <v>92</v>
      </c>
      <c r="H72" s="21"/>
      <c r="I72" s="21"/>
      <c r="J72" s="21"/>
      <c r="K72" s="21"/>
      <c r="L72" s="42"/>
    </row>
    <row r="73" spans="1:12" x14ac:dyDescent="0.3">
      <c r="A73">
        <v>3</v>
      </c>
      <c r="B73" s="19" t="s">
        <v>59</v>
      </c>
      <c r="C73" s="36" t="s">
        <v>60</v>
      </c>
      <c r="D73" s="19"/>
      <c r="E73" s="19">
        <f>GANTT!$F$21</f>
        <v>0</v>
      </c>
      <c r="F73" s="21"/>
      <c r="G73" s="63" t="s">
        <v>4</v>
      </c>
      <c r="H73" s="63">
        <f t="shared" ref="H73" si="49">SUM(H74:H77)</f>
        <v>0</v>
      </c>
      <c r="I73" s="63">
        <f t="shared" ref="I73" si="50">SUM(I74:I77)</f>
        <v>0</v>
      </c>
      <c r="J73" s="63">
        <f t="shared" ref="J73" si="51">SUM(J74:J77)</f>
        <v>0</v>
      </c>
      <c r="K73" s="63">
        <f t="shared" ref="K73" si="52">SUM(K74:K77)</f>
        <v>0</v>
      </c>
      <c r="L73" s="42"/>
    </row>
    <row r="74" spans="1:12" x14ac:dyDescent="0.3">
      <c r="B74" s="19"/>
      <c r="C74" s="36"/>
      <c r="D74" s="19"/>
      <c r="E74" s="19"/>
      <c r="F74" s="21"/>
      <c r="G74" s="62" t="s">
        <v>89</v>
      </c>
      <c r="H74" s="21">
        <f>INDEX(Personaleinsatz!G$8:G$78, 1+ROUNDDOWN((ROW(G73)-ROW(G$8))/5,0),1) * Einstellungen!$D$27</f>
        <v>0</v>
      </c>
      <c r="I74" s="21">
        <f>INDEX(Personaleinsatz!H$8:H$78, 1+ROUNDDOWN((ROW(H73)-ROW(H$8))/5,0),1) * Einstellungen!$D$27</f>
        <v>0</v>
      </c>
      <c r="J74" s="21">
        <f>INDEX(Personaleinsatz!I$8:I$78, 1+ROUNDDOWN((ROW(I73)-ROW(I$8))/5,0),1) * Einstellungen!$D$27</f>
        <v>0</v>
      </c>
      <c r="K74" s="21">
        <f>INDEX(Personaleinsatz!J$8:J$78, 1+ROUNDDOWN((ROW(J73)-ROW(J$8))/5,0),1) * Einstellungen!$D$27</f>
        <v>0</v>
      </c>
      <c r="L74" s="42"/>
    </row>
    <row r="75" spans="1:12" x14ac:dyDescent="0.3">
      <c r="B75" s="19"/>
      <c r="C75" s="36"/>
      <c r="D75" s="19"/>
      <c r="E75" s="19"/>
      <c r="F75" s="21"/>
      <c r="G75" s="62" t="s">
        <v>90</v>
      </c>
      <c r="H75" s="21"/>
      <c r="I75" s="21"/>
      <c r="J75" s="21"/>
      <c r="K75" s="21"/>
      <c r="L75" s="42"/>
    </row>
    <row r="76" spans="1:12" ht="28.8" x14ac:dyDescent="0.3">
      <c r="B76" s="19"/>
      <c r="C76" s="36"/>
      <c r="D76" s="19"/>
      <c r="E76" s="19"/>
      <c r="F76" s="21"/>
      <c r="G76" s="62" t="s">
        <v>91</v>
      </c>
      <c r="H76" s="21"/>
      <c r="I76" s="21"/>
      <c r="J76" s="21"/>
      <c r="K76" s="21"/>
      <c r="L76" s="42"/>
    </row>
    <row r="77" spans="1:12" x14ac:dyDescent="0.3">
      <c r="B77" s="19"/>
      <c r="C77" s="36"/>
      <c r="D77" s="19"/>
      <c r="E77" s="19"/>
      <c r="F77" s="21"/>
      <c r="G77" s="62" t="s">
        <v>92</v>
      </c>
      <c r="H77" s="21"/>
      <c r="I77" s="21"/>
      <c r="J77" s="21"/>
      <c r="K77" s="21"/>
      <c r="L77" s="42"/>
    </row>
    <row r="78" spans="1:12" x14ac:dyDescent="0.3">
      <c r="E78">
        <f>GANTT!$F$22</f>
        <v>0</v>
      </c>
      <c r="G78" s="65"/>
      <c r="H78" s="65">
        <f>GANTT!$F22</f>
        <v>0</v>
      </c>
      <c r="I78" s="65"/>
      <c r="J78" s="65">
        <f>GANTT!$G22</f>
        <v>0</v>
      </c>
      <c r="K78" s="65">
        <f t="shared" ref="K78" si="53">IF(J78="", "", IF(I78&gt;0, J78-I78, J78-H78))</f>
        <v>0</v>
      </c>
    </row>
    <row r="79" spans="1:12" x14ac:dyDescent="0.3">
      <c r="G79" s="64"/>
    </row>
    <row r="80" spans="1:12" x14ac:dyDescent="0.3">
      <c r="G80" s="64"/>
    </row>
    <row r="81" spans="7:7" x14ac:dyDescent="0.3">
      <c r="G81" s="64"/>
    </row>
    <row r="82" spans="7:7" x14ac:dyDescent="0.3">
      <c r="G82" s="64"/>
    </row>
  </sheetData>
  <conditionalFormatting sqref="B18:C52 B58:C77">
    <cfRule type="expression" dxfId="22" priority="2">
      <formula>$E18=0</formula>
    </cfRule>
  </conditionalFormatting>
  <conditionalFormatting sqref="B53:C57 B13:C17">
    <cfRule type="expression" dxfId="21" priority="1">
      <formula>$E13=0</formula>
    </cfRule>
  </conditionalFormatting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D46C3-B08A-4689-8F3A-9953E57D0AF6}">
  <dimension ref="A1:N22"/>
  <sheetViews>
    <sheetView workbookViewId="0">
      <selection activeCell="N8" sqref="N8:N22"/>
    </sheetView>
  </sheetViews>
  <sheetFormatPr defaultColWidth="11.5546875" defaultRowHeight="14.4" x14ac:dyDescent="0.3"/>
  <cols>
    <col min="1" max="1" width="2" bestFit="1" customWidth="1"/>
    <col min="2" max="2" width="5.109375" bestFit="1" customWidth="1"/>
    <col min="3" max="3" width="34.6640625" bestFit="1" customWidth="1"/>
    <col min="5" max="5" width="0" hidden="1" customWidth="1"/>
    <col min="6" max="14" width="11.44140625"/>
  </cols>
  <sheetData>
    <row r="1" spans="1:14" x14ac:dyDescent="0.3">
      <c r="B1" s="32"/>
    </row>
    <row r="2" spans="1:14" ht="64.2" x14ac:dyDescent="0.3">
      <c r="B2" s="1" t="s">
        <v>1</v>
      </c>
      <c r="C2" s="2" t="s">
        <v>2</v>
      </c>
      <c r="D2" s="2" t="s">
        <v>3</v>
      </c>
      <c r="E2" s="2"/>
      <c r="F2" s="2"/>
      <c r="G2" s="2" t="s">
        <v>76</v>
      </c>
      <c r="H2" s="51" t="s">
        <v>77</v>
      </c>
      <c r="I2" s="51" t="s">
        <v>78</v>
      </c>
      <c r="J2" s="51" t="s">
        <v>79</v>
      </c>
      <c r="K2" s="51" t="s">
        <v>80</v>
      </c>
      <c r="L2" s="51" t="s">
        <v>81</v>
      </c>
      <c r="M2" s="2" t="s">
        <v>82</v>
      </c>
      <c r="N2" s="51" t="s">
        <v>83</v>
      </c>
    </row>
    <row r="3" spans="1:14" hidden="1" x14ac:dyDescent="0.3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hidden="1" x14ac:dyDescent="0.3">
      <c r="B4" s="1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idden="1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idden="1" x14ac:dyDescent="0.3">
      <c r="B6" s="32"/>
    </row>
    <row r="7" spans="1:14" hidden="1" x14ac:dyDescent="0.3">
      <c r="B7" s="32"/>
    </row>
    <row r="8" spans="1:14" x14ac:dyDescent="0.3">
      <c r="A8">
        <v>1</v>
      </c>
      <c r="B8" s="10" t="s">
        <v>37</v>
      </c>
      <c r="C8" s="11" t="s">
        <v>38</v>
      </c>
      <c r="D8" s="11"/>
      <c r="E8" s="11">
        <f>GANTT!$F$8</f>
        <v>122.5</v>
      </c>
      <c r="F8" s="38"/>
      <c r="G8" s="38"/>
      <c r="H8" s="38"/>
      <c r="I8" s="11">
        <f t="shared" ref="I8" si="0">SUM(I9,I17)</f>
        <v>5</v>
      </c>
      <c r="J8" s="38"/>
      <c r="K8" s="38"/>
      <c r="L8" s="38"/>
      <c r="M8" s="38"/>
      <c r="N8" s="11">
        <f t="shared" ref="N8" si="1">SUM(N9,N17)</f>
        <v>5</v>
      </c>
    </row>
    <row r="9" spans="1:14" x14ac:dyDescent="0.3">
      <c r="A9">
        <v>2</v>
      </c>
      <c r="B9" s="14" t="s">
        <v>13</v>
      </c>
      <c r="C9" s="37" t="s">
        <v>39</v>
      </c>
      <c r="D9" s="14"/>
      <c r="E9" s="14">
        <f>GANTT!$F$9</f>
        <v>80.5</v>
      </c>
      <c r="F9" s="39"/>
      <c r="G9" s="39"/>
      <c r="H9" s="39"/>
      <c r="I9" s="16">
        <f t="shared" ref="I9" si="2">SUM(I10,I11,I12,I13,I14,I15,I16)</f>
        <v>5</v>
      </c>
      <c r="J9" s="39"/>
      <c r="K9" s="39"/>
      <c r="L9" s="39"/>
      <c r="M9" s="39"/>
      <c r="N9" s="16">
        <f t="shared" ref="N9" si="3">SUM(N10,N11,N12,N13,N14,N15,N16)</f>
        <v>5</v>
      </c>
    </row>
    <row r="10" spans="1:14" x14ac:dyDescent="0.3">
      <c r="A10">
        <v>3</v>
      </c>
      <c r="B10" s="19" t="s">
        <v>15</v>
      </c>
      <c r="C10" s="36" t="s">
        <v>40</v>
      </c>
      <c r="D10" s="19"/>
      <c r="E10" s="19">
        <f>GANTT!$F$10</f>
        <v>24</v>
      </c>
      <c r="F10" s="41"/>
      <c r="G10" s="41"/>
      <c r="H10" s="41"/>
      <c r="I10" s="21">
        <v>4</v>
      </c>
      <c r="J10" s="41"/>
      <c r="K10" s="41"/>
      <c r="L10" s="41"/>
      <c r="M10" s="41"/>
      <c r="N10" s="21">
        <v>4</v>
      </c>
    </row>
    <row r="11" spans="1:14" x14ac:dyDescent="0.3">
      <c r="A11">
        <v>3</v>
      </c>
      <c r="B11" s="19" t="s">
        <v>17</v>
      </c>
      <c r="C11" s="36" t="s">
        <v>41</v>
      </c>
      <c r="D11" s="19"/>
      <c r="E11" s="19">
        <f>GANTT!$F$11</f>
        <v>0</v>
      </c>
      <c r="F11" s="41"/>
      <c r="G11" s="41"/>
      <c r="H11" s="41"/>
      <c r="I11" s="21"/>
      <c r="J11" s="41"/>
      <c r="K11" s="41"/>
      <c r="L11" s="41"/>
      <c r="M11" s="41"/>
      <c r="N11" s="21"/>
    </row>
    <row r="12" spans="1:14" x14ac:dyDescent="0.3">
      <c r="A12">
        <v>3</v>
      </c>
      <c r="B12" s="19" t="s">
        <v>19</v>
      </c>
      <c r="C12" s="36" t="s">
        <v>42</v>
      </c>
      <c r="D12" s="19"/>
      <c r="E12" s="19">
        <f>GANTT!$F$12</f>
        <v>7.5</v>
      </c>
      <c r="F12" s="41"/>
      <c r="G12" s="41"/>
      <c r="H12" s="41"/>
      <c r="I12" s="21">
        <v>0.25</v>
      </c>
      <c r="J12" s="41"/>
      <c r="K12" s="41"/>
      <c r="L12" s="41"/>
      <c r="M12" s="41"/>
      <c r="N12" s="21">
        <v>0.25</v>
      </c>
    </row>
    <row r="13" spans="1:14" x14ac:dyDescent="0.3">
      <c r="A13">
        <v>3</v>
      </c>
      <c r="B13" s="19" t="s">
        <v>43</v>
      </c>
      <c r="C13" s="36" t="s">
        <v>44</v>
      </c>
      <c r="D13" s="19"/>
      <c r="E13" s="19">
        <f>GANTT!$F$13</f>
        <v>15</v>
      </c>
      <c r="F13" s="41"/>
      <c r="G13" s="41"/>
      <c r="H13" s="41"/>
      <c r="I13" s="21">
        <v>0.5</v>
      </c>
      <c r="J13" s="41"/>
      <c r="K13" s="41"/>
      <c r="L13" s="41"/>
      <c r="M13" s="41"/>
      <c r="N13" s="21">
        <v>0.5</v>
      </c>
    </row>
    <row r="14" spans="1:14" x14ac:dyDescent="0.3">
      <c r="A14">
        <v>3</v>
      </c>
      <c r="B14" s="19" t="s">
        <v>45</v>
      </c>
      <c r="C14" s="36" t="s">
        <v>46</v>
      </c>
      <c r="D14" s="19"/>
      <c r="E14" s="19">
        <f>GANTT!$F$14</f>
        <v>10</v>
      </c>
      <c r="F14" s="41"/>
      <c r="G14" s="41"/>
      <c r="H14" s="41"/>
      <c r="I14" s="21">
        <v>0.25</v>
      </c>
      <c r="J14" s="41"/>
      <c r="K14" s="41"/>
      <c r="L14" s="41"/>
      <c r="M14" s="41"/>
      <c r="N14" s="21">
        <v>0.25</v>
      </c>
    </row>
    <row r="15" spans="1:14" x14ac:dyDescent="0.3">
      <c r="A15">
        <v>3</v>
      </c>
      <c r="B15" s="19" t="s">
        <v>47</v>
      </c>
      <c r="C15" s="36" t="s">
        <v>48</v>
      </c>
      <c r="D15" s="19"/>
      <c r="E15" s="19">
        <f>GANTT!$F$15</f>
        <v>24</v>
      </c>
      <c r="F15" s="41"/>
      <c r="G15" s="41"/>
      <c r="H15" s="41"/>
      <c r="I15" s="21"/>
      <c r="J15" s="41"/>
      <c r="K15" s="41"/>
      <c r="L15" s="41"/>
      <c r="M15" s="41"/>
      <c r="N15" s="21"/>
    </row>
    <row r="16" spans="1:14" x14ac:dyDescent="0.3">
      <c r="A16">
        <v>3</v>
      </c>
      <c r="B16" s="19" t="s">
        <v>49</v>
      </c>
      <c r="C16" s="36" t="s">
        <v>50</v>
      </c>
      <c r="D16" s="19"/>
      <c r="E16" s="19">
        <f>GANTT!$F$16</f>
        <v>0</v>
      </c>
      <c r="F16" s="41"/>
      <c r="G16" s="41"/>
      <c r="H16" s="41"/>
      <c r="I16" s="21"/>
      <c r="J16" s="41"/>
      <c r="K16" s="41"/>
      <c r="L16" s="41"/>
      <c r="M16" s="41"/>
      <c r="N16" s="21"/>
    </row>
    <row r="17" spans="1:14" x14ac:dyDescent="0.3">
      <c r="A17">
        <v>2</v>
      </c>
      <c r="B17" s="14" t="s">
        <v>51</v>
      </c>
      <c r="C17" s="37" t="s">
        <v>52</v>
      </c>
      <c r="D17" s="14"/>
      <c r="E17" s="14">
        <f>GANTT!$F$17</f>
        <v>42</v>
      </c>
      <c r="F17" s="39"/>
      <c r="G17" s="39"/>
      <c r="H17" s="39"/>
      <c r="I17" s="16">
        <f t="shared" ref="I17" si="4">SUM(I18,I19,I20,I21)</f>
        <v>0</v>
      </c>
      <c r="J17" s="39"/>
      <c r="K17" s="39"/>
      <c r="L17" s="39"/>
      <c r="M17" s="39"/>
      <c r="N17" s="16">
        <f t="shared" ref="N17" si="5">SUM(N18,N19,N20,N21)</f>
        <v>0</v>
      </c>
    </row>
    <row r="18" spans="1:14" x14ac:dyDescent="0.3">
      <c r="A18">
        <v>3</v>
      </c>
      <c r="B18" s="19" t="s">
        <v>53</v>
      </c>
      <c r="C18" s="36" t="s">
        <v>54</v>
      </c>
      <c r="D18" s="19"/>
      <c r="E18" s="19">
        <f>GANTT!$F$18</f>
        <v>12</v>
      </c>
      <c r="F18" s="41"/>
      <c r="G18" s="41"/>
      <c r="H18" s="41"/>
      <c r="I18" s="21"/>
      <c r="J18" s="41"/>
      <c r="K18" s="41"/>
      <c r="L18" s="41"/>
      <c r="M18" s="41"/>
      <c r="N18" s="21"/>
    </row>
    <row r="19" spans="1:14" x14ac:dyDescent="0.3">
      <c r="A19">
        <v>3</v>
      </c>
      <c r="B19" s="19" t="s">
        <v>55</v>
      </c>
      <c r="C19" s="36" t="s">
        <v>56</v>
      </c>
      <c r="D19" s="19"/>
      <c r="E19" s="19">
        <f>GANTT!$F$19</f>
        <v>6</v>
      </c>
      <c r="F19" s="41"/>
      <c r="G19" s="41"/>
      <c r="H19" s="41"/>
      <c r="I19" s="21"/>
      <c r="J19" s="41"/>
      <c r="K19" s="41"/>
      <c r="L19" s="41"/>
      <c r="M19" s="41"/>
      <c r="N19" s="21"/>
    </row>
    <row r="20" spans="1:14" x14ac:dyDescent="0.3">
      <c r="A20">
        <v>3</v>
      </c>
      <c r="B20" s="19" t="s">
        <v>57</v>
      </c>
      <c r="C20" s="36" t="s">
        <v>58</v>
      </c>
      <c r="D20" s="19"/>
      <c r="E20" s="19">
        <f>GANTT!$F$20</f>
        <v>24</v>
      </c>
      <c r="F20" s="41"/>
      <c r="G20" s="41"/>
      <c r="H20" s="41"/>
      <c r="I20" s="21"/>
      <c r="J20" s="41"/>
      <c r="K20" s="41"/>
      <c r="L20" s="41"/>
      <c r="M20" s="41"/>
      <c r="N20" s="21"/>
    </row>
    <row r="21" spans="1:14" x14ac:dyDescent="0.3">
      <c r="A21">
        <v>3</v>
      </c>
      <c r="B21" s="19" t="s">
        <v>59</v>
      </c>
      <c r="C21" s="36" t="s">
        <v>60</v>
      </c>
      <c r="D21" s="19"/>
      <c r="E21" s="19">
        <f>GANTT!$F$21</f>
        <v>0</v>
      </c>
      <c r="F21" s="41"/>
      <c r="G21" s="41"/>
      <c r="H21" s="41"/>
      <c r="I21" s="21"/>
      <c r="J21" s="41"/>
      <c r="K21" s="41"/>
      <c r="L21" s="41"/>
      <c r="M21" s="41"/>
      <c r="N21" s="21"/>
    </row>
    <row r="22" spans="1:14" x14ac:dyDescent="0.3">
      <c r="E22">
        <f>GANTT!$F$22</f>
        <v>0</v>
      </c>
    </row>
  </sheetData>
  <conditionalFormatting sqref="B10:C16 B18:C21">
    <cfRule type="expression" dxfId="20" priority="14">
      <formula>$E10=0</formula>
    </cfRule>
  </conditionalFormatting>
  <conditionalFormatting sqref="B17:C17 B9:C9">
    <cfRule type="expression" dxfId="19" priority="13">
      <formula>$E9=0</formula>
    </cfRule>
  </conditionalFormatting>
  <conditionalFormatting sqref="I10:I16 I18:I21">
    <cfRule type="expression" dxfId="18" priority="10">
      <formula>AND(INDEX($I10:K10,FLOOR((COLUMN(I6)-COLUMN($I6)) / 3,1)*3+1) &gt; 0,$A11 &gt; $A10)</formula>
    </cfRule>
    <cfRule type="expression" dxfId="17" priority="11">
      <formula>INDEX($I10:K10,FLOOR((COLUMN(I6)-COLUMN($I6)) / 3,1)*3+1) &gt; 0</formula>
    </cfRule>
    <cfRule type="expression" dxfId="16" priority="12">
      <formula>I10 = 0</formula>
    </cfRule>
  </conditionalFormatting>
  <conditionalFormatting sqref="I17 I9">
    <cfRule type="expression" dxfId="15" priority="7">
      <formula>AND(INDEX($I9:K9,FLOOR((COLUMN(I5)-COLUMN($I5)) / 3,1)*3+1) &gt; 0,$A10 &gt; $A9)</formula>
    </cfRule>
    <cfRule type="expression" dxfId="14" priority="8">
      <formula>INDEX($I9:K9,FLOOR((COLUMN(I5)-COLUMN($I5)) / 3,1)*3+1) &gt; 0</formula>
    </cfRule>
    <cfRule type="expression" dxfId="13" priority="9">
      <formula>I9 = 0</formula>
    </cfRule>
  </conditionalFormatting>
  <conditionalFormatting sqref="N10:N16 N18:N21">
    <cfRule type="expression" dxfId="12" priority="4">
      <formula>AND(INDEX($I10:P10,FLOOR((COLUMN(N6)-COLUMN($I6)) / 3,1)*3+1) &gt; 0,$A11 &gt; $A10)</formula>
    </cfRule>
    <cfRule type="expression" dxfId="11" priority="5">
      <formula>INDEX($I10:P10,FLOOR((COLUMN(N6)-COLUMN($I6)) / 3,1)*3+1) &gt; 0</formula>
    </cfRule>
    <cfRule type="expression" dxfId="10" priority="6">
      <formula>N10 = 0</formula>
    </cfRule>
  </conditionalFormatting>
  <conditionalFormatting sqref="N17 N9">
    <cfRule type="expression" dxfId="9" priority="1">
      <formula>AND(INDEX($I9:P9,FLOOR((COLUMN(N5)-COLUMN($I5)) / 3,1)*3+1) &gt; 0,$A10 &gt; $A9)</formula>
    </cfRule>
    <cfRule type="expression" dxfId="8" priority="2">
      <formula>INDEX($I9:P9,FLOOR((COLUMN(N5)-COLUMN($I5)) / 3,1)*3+1) &gt; 0</formula>
    </cfRule>
    <cfRule type="expression" dxfId="7" priority="3">
      <formula>N9 = 0</formula>
    </cfRule>
  </conditionalFormatting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6323F-FF5E-4577-9F65-E88ED2C1824A}">
  <dimension ref="A1:M6"/>
  <sheetViews>
    <sheetView workbookViewId="0">
      <selection activeCell="C2" sqref="C2"/>
    </sheetView>
  </sheetViews>
  <sheetFormatPr defaultColWidth="11.5546875" defaultRowHeight="14.4" x14ac:dyDescent="0.3"/>
  <sheetData>
    <row r="1" spans="1:13" x14ac:dyDescent="0.3">
      <c r="C1" s="50">
        <f>INDEX(GANTT!$I3:$AM3,1,1+(COLUMN(C3)-COLUMN($C3))*3)</f>
        <v>45572</v>
      </c>
      <c r="D1" s="50">
        <f>INDEX(GANTT!$I3:$AM3,1,1+(COLUMN(D3)-COLUMN($C3))*3)</f>
        <v>45579</v>
      </c>
      <c r="E1" s="50">
        <f>INDEX(GANTT!$I3:$AM3,1,1+(COLUMN(E3)-COLUMN($C3))*3)</f>
        <v>45586</v>
      </c>
      <c r="F1" s="50">
        <f>INDEX(GANTT!$I3:$AM3,1,1+(COLUMN(F3)-COLUMN($C3))*3)</f>
        <v>45593</v>
      </c>
      <c r="G1" s="50">
        <f>INDEX(GANTT!$I3:$AM3,1,1+(COLUMN(G3)-COLUMN($C3))*3)</f>
        <v>45600</v>
      </c>
      <c r="H1" s="50">
        <f>INDEX(GANTT!$I3:$AM3,1,1+(COLUMN(H3)-COLUMN($C3))*3)</f>
        <v>45607</v>
      </c>
      <c r="I1" s="50">
        <f>INDEX(GANTT!$I3:$AM3,1,1+(COLUMN(I3)-COLUMN($C3))*3)</f>
        <v>45614</v>
      </c>
      <c r="J1" s="50">
        <f>INDEX(GANTT!$I3:$AM3,1,1+(COLUMN(J3)-COLUMN($C3))*3)</f>
        <v>45621</v>
      </c>
      <c r="K1" s="50">
        <f>INDEX(GANTT!$I3:$AM3,1,1+(COLUMN(K3)-COLUMN($C3))*3)</f>
        <v>45628</v>
      </c>
      <c r="L1" s="50">
        <f>INDEX(GANTT!$I3:$AM3,1,1+(COLUMN(L3)-COLUMN($C3))*3)</f>
        <v>45635</v>
      </c>
      <c r="M1" s="50">
        <f>INDEX(GANTT!$I3:$AM3,1,1+(COLUMN(M3)-COLUMN($C3))*3)</f>
        <v>45642</v>
      </c>
    </row>
    <row r="2" spans="1:13" x14ac:dyDescent="0.3">
      <c r="A2" t="s">
        <v>93</v>
      </c>
      <c r="B2" t="s">
        <v>95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</row>
    <row r="3" spans="1:13" x14ac:dyDescent="0.3">
      <c r="A3" t="s">
        <v>63</v>
      </c>
      <c r="B3">
        <v>0</v>
      </c>
      <c r="C3">
        <f>INDEX(GANTT!$I7:$AO7,1,1+(COLUMN(C3)-COLUMN($C3))*3)</f>
        <v>15.25</v>
      </c>
      <c r="D3">
        <f>INDEX(GANTT!$I7:$AO7,1,1+(COLUMN(D3)-COLUMN($C3))*3)</f>
        <v>30.5</v>
      </c>
      <c r="E3">
        <f>INDEX(GANTT!$I7:$AO7,1,1+(COLUMN(E3)-COLUMN($C3))*3)</f>
        <v>43.75</v>
      </c>
      <c r="F3">
        <f>INDEX(GANTT!$I7:$AO7,1,1+(COLUMN(F3)-COLUMN($C3))*3)</f>
        <v>60</v>
      </c>
      <c r="G3">
        <f>INDEX(GANTT!$I7:$AO7,1,1+(COLUMN(G3)-COLUMN($C3))*3)</f>
        <v>76.25</v>
      </c>
      <c r="H3">
        <f>INDEX(GANTT!$I7:$AO7,1,1+(COLUMN(H3)-COLUMN($C3))*3)</f>
        <v>85.5</v>
      </c>
      <c r="I3">
        <f>INDEX(GANTT!$I7:$AO7,1,1+(COLUMN(I3)-COLUMN($C3))*3)</f>
        <v>88.75</v>
      </c>
      <c r="J3">
        <f>INDEX(GANTT!$I7:$AO7,1,1+(COLUMN(J3)-COLUMN($C3))*3)</f>
        <v>92</v>
      </c>
      <c r="K3">
        <f>INDEX(GANTT!$I7:$AO7,1,1+(COLUMN(K3)-COLUMN($C3))*3)</f>
        <v>107.25</v>
      </c>
      <c r="L3">
        <f>INDEX(GANTT!$I7:$AO7,1,1+(COLUMN(L3)-COLUMN($C3))*3)</f>
        <v>122.5</v>
      </c>
      <c r="M3">
        <f>INDEX(GANTT!$I7:$AO7,1,1+(COLUMN(M3)-COLUMN($C3))*3)</f>
        <v>122.5</v>
      </c>
    </row>
    <row r="4" spans="1:13" x14ac:dyDescent="0.3">
      <c r="A4" t="s">
        <v>8</v>
      </c>
      <c r="B4">
        <v>0</v>
      </c>
      <c r="C4">
        <f>INDEX(GANTT!$I7:$AO7,1,2+(COLUMN(C3)-COLUMN($C3))*3)</f>
        <v>13</v>
      </c>
      <c r="D4">
        <f>INDEX(GANTT!$I7:$AO7,1,2+(COLUMN(D3)-COLUMN($C3))*3)</f>
        <v>28</v>
      </c>
      <c r="E4">
        <f>INDEX(GANTT!$I7:$AO7,1,2+(COLUMN(E3)-COLUMN($C3))*3)</f>
        <v>28</v>
      </c>
      <c r="F4">
        <f>INDEX(GANTT!$I7:$AO7,1,2+(COLUMN(F3)-COLUMN($C3))*3)</f>
        <v>28</v>
      </c>
      <c r="G4">
        <f>INDEX(GANTT!$I7:$AO7,1,2+(COLUMN(G3)-COLUMN($C3))*3)</f>
        <v>28</v>
      </c>
      <c r="H4">
        <f>INDEX(GANTT!$I7:$AO7,1,2+(COLUMN(H3)-COLUMN($C3))*3)</f>
        <v>28</v>
      </c>
      <c r="I4">
        <f>INDEX(GANTT!$I7:$AO7,1,2+(COLUMN(I3)-COLUMN($C3))*3)</f>
        <v>28</v>
      </c>
      <c r="J4">
        <f>INDEX(GANTT!$I7:$AO7,1,2+(COLUMN(J3)-COLUMN($C3))*3)</f>
        <v>28</v>
      </c>
      <c r="K4">
        <f>INDEX(GANTT!$I7:$AO7,1,2+(COLUMN(K3)-COLUMN($C3))*3)</f>
        <v>28</v>
      </c>
      <c r="L4">
        <f>INDEX(GANTT!$I7:$AO7,1,2+(COLUMN(L3)-COLUMN($C3))*3)</f>
        <v>28</v>
      </c>
      <c r="M4">
        <f>INDEX(GANTT!$I7:$AO7,1,2+(COLUMN(M3)-COLUMN($C3))*3)</f>
        <v>28</v>
      </c>
    </row>
    <row r="5" spans="1:13" x14ac:dyDescent="0.3">
      <c r="A5" t="s">
        <v>7</v>
      </c>
      <c r="B5">
        <v>0</v>
      </c>
      <c r="C5">
        <f>INDEX(GANTT!$I8:$AO8,1,3+(COLUMN(C3)-COLUMN($C3))*3)</f>
        <v>4.8979591836734691E-2</v>
      </c>
      <c r="D5">
        <f>INDEX(GANTT!$I8:$AO8,1,3+(COLUMN(D3)-COLUMN($C3))*3)</f>
        <v>0.19591836734693877</v>
      </c>
      <c r="E5">
        <f>INDEX(GANTT!$I8:$AO8,1,3+(COLUMN(E3)-COLUMN($C3))*3)</f>
        <v>0.19591836734693877</v>
      </c>
      <c r="F5">
        <f>INDEX(GANTT!$I8:$AO8,1,3+(COLUMN(F3)-COLUMN($C3))*3)</f>
        <v>0.19591836734693877</v>
      </c>
      <c r="G5">
        <f>INDEX(GANTT!$I8:$AO8,1,3+(COLUMN(G3)-COLUMN($C3))*3)</f>
        <v>0.19591836734693877</v>
      </c>
      <c r="H5">
        <f>INDEX(GANTT!$I8:$AO8,1,3+(COLUMN(H3)-COLUMN($C3))*3)</f>
        <v>0.19591836734693877</v>
      </c>
      <c r="I5">
        <f>INDEX(GANTT!$I8:$AO8,1,3+(COLUMN(I3)-COLUMN($C3))*3)</f>
        <v>0.19591836734693877</v>
      </c>
      <c r="J5">
        <f>INDEX(GANTT!$I8:$AO8,1,3+(COLUMN(J3)-COLUMN($C3))*3)</f>
        <v>0.19591836734693877</v>
      </c>
      <c r="K5">
        <f>INDEX(GANTT!$I8:$AO8,1,3+(COLUMN(K3)-COLUMN($C3))*3)</f>
        <v>0.19591836734693877</v>
      </c>
      <c r="L5">
        <f>INDEX(GANTT!$I8:$AO8,1,3+(COLUMN(L3)-COLUMN($C3))*3)</f>
        <v>0.19591836734693877</v>
      </c>
      <c r="M5">
        <f>INDEX(GANTT!$I8:$AO8,1,3+(COLUMN(M3)-COLUMN($C3))*3)</f>
        <v>0.19591836734693877</v>
      </c>
    </row>
    <row r="6" spans="1:13" x14ac:dyDescent="0.3">
      <c r="A6" t="s">
        <v>94</v>
      </c>
      <c r="B6">
        <v>0</v>
      </c>
      <c r="C6">
        <f t="shared" ref="C6:M6" si="0">C5 * $M$3</f>
        <v>6</v>
      </c>
      <c r="D6">
        <f t="shared" si="0"/>
        <v>24</v>
      </c>
      <c r="E6">
        <f t="shared" si="0"/>
        <v>24</v>
      </c>
      <c r="F6">
        <f t="shared" si="0"/>
        <v>24</v>
      </c>
      <c r="G6">
        <f t="shared" si="0"/>
        <v>24</v>
      </c>
      <c r="H6">
        <f t="shared" si="0"/>
        <v>24</v>
      </c>
      <c r="I6">
        <f t="shared" si="0"/>
        <v>24</v>
      </c>
      <c r="J6">
        <f t="shared" si="0"/>
        <v>24</v>
      </c>
      <c r="K6">
        <f t="shared" si="0"/>
        <v>24</v>
      </c>
      <c r="L6">
        <f t="shared" si="0"/>
        <v>24</v>
      </c>
      <c r="M6">
        <f t="shared" si="0"/>
        <v>24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D73E2-973C-45C3-A7D8-4BE106951E2D}">
  <dimension ref="A1:H21"/>
  <sheetViews>
    <sheetView topLeftCell="G1" workbookViewId="0">
      <selection activeCell="A8" sqref="A8:G21"/>
    </sheetView>
  </sheetViews>
  <sheetFormatPr defaultColWidth="11.5546875" defaultRowHeight="14.4" x14ac:dyDescent="0.3"/>
  <cols>
    <col min="1" max="6" width="0" hidden="1" customWidth="1"/>
  </cols>
  <sheetData>
    <row r="1" spans="1:8" x14ac:dyDescent="0.3">
      <c r="G1" t="s">
        <v>96</v>
      </c>
      <c r="H1" t="s">
        <v>100</v>
      </c>
    </row>
    <row r="2" spans="1:8" x14ac:dyDescent="0.3">
      <c r="G2" t="s">
        <v>97</v>
      </c>
      <c r="H2" t="str">
        <f>IF(UPPER($H$1)="Linux","mkdir","md")</f>
        <v>md</v>
      </c>
    </row>
    <row r="3" spans="1:8" x14ac:dyDescent="0.3">
      <c r="G3" t="s">
        <v>98</v>
      </c>
      <c r="H3" t="str">
        <f>IF(UPPER($H$1)="Linux",";","&amp;")</f>
        <v>&amp;</v>
      </c>
    </row>
    <row r="6" spans="1:8" x14ac:dyDescent="0.3">
      <c r="G6" t="s">
        <v>99</v>
      </c>
    </row>
    <row r="8" spans="1:8" x14ac:dyDescent="0.3">
      <c r="A8">
        <f>GANTT!A8</f>
        <v>1</v>
      </c>
      <c r="B8" t="str">
        <f>GANTT!B8&amp;"_"&amp;GANTT!C8</f>
        <v>1_ZoesReallyCoolProject</v>
      </c>
      <c r="C8" t="str">
        <f>SUBSTITUTE(SUBSTITUTE(SUBSTITUTE(SUBSTITUTE(SUBSTITUTE(SUBSTITUTE(B8,".","_"),"ä","ae"),"ü","ue"),"ö","oe"),"ß","ss")," ","_")</f>
        <v>1_ZoesReallyCoolProject</v>
      </c>
      <c r="D8" t="str">
        <f>$H$2&amp;" "&amp;C8&amp;" "&amp;$H$3&amp;" "</f>
        <v xml:space="preserve">md 1_ZoesReallyCoolProject &amp; </v>
      </c>
      <c r="E8" t="str">
        <f>IF(A8&lt;A9,"cd "&amp;C8&amp;" "&amp;$H$3&amp;" ","")</f>
        <v xml:space="preserve">cd 1_ZoesReallyCoolProject &amp; </v>
      </c>
      <c r="F8" t="str">
        <f>IF(A9&lt;A8,REPT("cd .. "&amp;" "&amp;$H$3&amp;" ",A8-A9),"")</f>
        <v/>
      </c>
      <c r="G8" t="str">
        <f>D8&amp;E8&amp;F8</f>
        <v xml:space="preserve">md 1_ZoesReallyCoolProject &amp; cd 1_ZoesReallyCoolProject &amp; </v>
      </c>
    </row>
    <row r="9" spans="1:8" x14ac:dyDescent="0.3">
      <c r="A9">
        <f>GANTT!A9</f>
        <v>2</v>
      </c>
      <c r="B9" t="str">
        <f>GANTT!B9&amp;"_"&amp;GANTT!C9</f>
        <v>1.1_Projektmanagement</v>
      </c>
      <c r="C9" t="str">
        <f t="shared" ref="C9:C21" si="0">SUBSTITUTE(SUBSTITUTE(SUBSTITUTE(SUBSTITUTE(SUBSTITUTE(SUBSTITUTE(B9,".","_"),"ä","ae"),"ü","ue"),"ö","oe"),"ß","ss")," ","_")</f>
        <v>1_1_Projektmanagement</v>
      </c>
      <c r="D9" t="str">
        <f t="shared" ref="D9:D21" si="1">$H$2&amp;" "&amp;C9&amp;" "&amp;$H$3&amp;" "</f>
        <v xml:space="preserve">md 1_1_Projektmanagement &amp; </v>
      </c>
      <c r="E9" t="str">
        <f t="shared" ref="E9:E21" si="2">IF(A9&lt;A10,"cd "&amp;C9&amp;" "&amp;$H$3&amp;" ","")</f>
        <v xml:space="preserve">cd 1_1_Projektmanagement &amp; </v>
      </c>
      <c r="F9" t="str">
        <f t="shared" ref="F9:F21" si="3">IF(A10&lt;A9,REPT("cd .. "&amp;" "&amp;$H$3&amp;" ",A9-A10),"")</f>
        <v/>
      </c>
      <c r="G9" t="str">
        <f t="shared" ref="G9:G21" si="4">D9&amp;E9&amp;F9</f>
        <v xml:space="preserve">md 1_1_Projektmanagement &amp; cd 1_1_Projektmanagement &amp; </v>
      </c>
    </row>
    <row r="10" spans="1:8" x14ac:dyDescent="0.3">
      <c r="A10">
        <f>GANTT!A10</f>
        <v>3</v>
      </c>
      <c r="B10" t="str">
        <f>GANTT!B10&amp;"_"&amp;GANTT!C10</f>
        <v>1.1.1_Projektstart durchführen</v>
      </c>
      <c r="C10" t="str">
        <f t="shared" si="0"/>
        <v>1_1_1_Projektstart_durchfuehren</v>
      </c>
      <c r="D10" t="str">
        <f t="shared" si="1"/>
        <v xml:space="preserve">md 1_1_1_Projektstart_durchfuehren &amp; </v>
      </c>
      <c r="E10" t="str">
        <f t="shared" si="2"/>
        <v/>
      </c>
      <c r="F10" t="str">
        <f t="shared" si="3"/>
        <v/>
      </c>
      <c r="G10" t="str">
        <f t="shared" si="4"/>
        <v xml:space="preserve">md 1_1_1_Projektstart_durchfuehren &amp; </v>
      </c>
    </row>
    <row r="11" spans="1:8" x14ac:dyDescent="0.3">
      <c r="A11">
        <f>GANTT!A11</f>
        <v>3</v>
      </c>
      <c r="B11" t="str">
        <f>GANTT!B11&amp;"_"&amp;GANTT!C11</f>
        <v>1.1.2_Projekt gestartet</v>
      </c>
      <c r="C11" t="str">
        <f t="shared" si="0"/>
        <v>1_1_2_Projekt_gestartet</v>
      </c>
      <c r="D11" t="str">
        <f t="shared" si="1"/>
        <v xml:space="preserve">md 1_1_2_Projekt_gestartet &amp; </v>
      </c>
      <c r="E11" t="str">
        <f t="shared" si="2"/>
        <v/>
      </c>
      <c r="F11" t="str">
        <f t="shared" si="3"/>
        <v/>
      </c>
      <c r="G11" t="str">
        <f t="shared" si="4"/>
        <v xml:space="preserve">md 1_1_2_Projekt_gestartet &amp; </v>
      </c>
    </row>
    <row r="12" spans="1:8" x14ac:dyDescent="0.3">
      <c r="A12">
        <f>GANTT!A12</f>
        <v>3</v>
      </c>
      <c r="B12" t="str">
        <f>GANTT!B12&amp;"_"&amp;GANTT!C12</f>
        <v>1.1.3_Projektcontrolling durchführen</v>
      </c>
      <c r="C12" t="str">
        <f t="shared" si="0"/>
        <v>1_1_3_Projektcontrolling_durchfuehren</v>
      </c>
      <c r="D12" t="str">
        <f t="shared" si="1"/>
        <v xml:space="preserve">md 1_1_3_Projektcontrolling_durchfuehren &amp; </v>
      </c>
      <c r="E12" t="str">
        <f t="shared" si="2"/>
        <v/>
      </c>
      <c r="F12" t="str">
        <f t="shared" si="3"/>
        <v/>
      </c>
      <c r="G12" t="str">
        <f t="shared" si="4"/>
        <v xml:space="preserve">md 1_1_3_Projektcontrolling_durchfuehren &amp; </v>
      </c>
    </row>
    <row r="13" spans="1:8" x14ac:dyDescent="0.3">
      <c r="A13">
        <f>GANTT!A13</f>
        <v>3</v>
      </c>
      <c r="B13" t="str">
        <f>GANTT!B13&amp;"_"&amp;GANTT!C13</f>
        <v>1.1.4_Projektmarketing durchführen</v>
      </c>
      <c r="C13" t="str">
        <f t="shared" si="0"/>
        <v>1_1_4_Projektmarketing_durchfuehren</v>
      </c>
      <c r="D13" t="str">
        <f t="shared" si="1"/>
        <v xml:space="preserve">md 1_1_4_Projektmarketing_durchfuehren &amp; </v>
      </c>
      <c r="E13" t="str">
        <f t="shared" si="2"/>
        <v/>
      </c>
      <c r="F13" t="str">
        <f t="shared" si="3"/>
        <v/>
      </c>
      <c r="G13" t="str">
        <f t="shared" si="4"/>
        <v xml:space="preserve">md 1_1_4_Projektmarketing_durchfuehren &amp; </v>
      </c>
    </row>
    <row r="14" spans="1:8" x14ac:dyDescent="0.3">
      <c r="A14">
        <f>GANTT!A14</f>
        <v>3</v>
      </c>
      <c r="B14" t="str">
        <f>GANTT!B14&amp;"_"&amp;GANTT!C14</f>
        <v>1.1.5_Projektkoordination durchführen</v>
      </c>
      <c r="C14" t="str">
        <f t="shared" si="0"/>
        <v>1_1_5_Projektkoordination_durchfuehren</v>
      </c>
      <c r="D14" t="str">
        <f t="shared" si="1"/>
        <v xml:space="preserve">md 1_1_5_Projektkoordination_durchfuehren &amp; </v>
      </c>
      <c r="E14" t="str">
        <f t="shared" si="2"/>
        <v/>
      </c>
      <c r="F14" t="str">
        <f t="shared" si="3"/>
        <v/>
      </c>
      <c r="G14" t="str">
        <f t="shared" si="4"/>
        <v xml:space="preserve">md 1_1_5_Projektkoordination_durchfuehren &amp; </v>
      </c>
    </row>
    <row r="15" spans="1:8" x14ac:dyDescent="0.3">
      <c r="A15">
        <f>GANTT!A15</f>
        <v>3</v>
      </c>
      <c r="B15" t="str">
        <f>GANTT!B15&amp;"_"&amp;GANTT!C15</f>
        <v>1.1.6_Projektabschluss durchführen</v>
      </c>
      <c r="C15" t="str">
        <f t="shared" si="0"/>
        <v>1_1_6_Projektabschluss_durchfuehren</v>
      </c>
      <c r="D15" t="str">
        <f t="shared" si="1"/>
        <v xml:space="preserve">md 1_1_6_Projektabschluss_durchfuehren &amp; </v>
      </c>
      <c r="E15" t="str">
        <f t="shared" si="2"/>
        <v/>
      </c>
      <c r="F15" t="str">
        <f t="shared" si="3"/>
        <v/>
      </c>
      <c r="G15" t="str">
        <f t="shared" si="4"/>
        <v xml:space="preserve">md 1_1_6_Projektabschluss_durchfuehren &amp; </v>
      </c>
    </row>
    <row r="16" spans="1:8" x14ac:dyDescent="0.3">
      <c r="A16">
        <f>GANTT!A16</f>
        <v>3</v>
      </c>
      <c r="B16" t="str">
        <f>GANTT!B16&amp;"_"&amp;GANTT!C16</f>
        <v>1.1.7_Projekt abgeschlossen</v>
      </c>
      <c r="C16" t="str">
        <f t="shared" si="0"/>
        <v>1_1_7_Projekt_abgeschlossen</v>
      </c>
      <c r="D16" t="str">
        <f t="shared" si="1"/>
        <v xml:space="preserve">md 1_1_7_Projekt_abgeschlossen &amp; </v>
      </c>
      <c r="E16" t="str">
        <f t="shared" si="2"/>
        <v/>
      </c>
      <c r="F16" t="str">
        <f t="shared" si="3"/>
        <v xml:space="preserve">cd ..  &amp; </v>
      </c>
      <c r="G16" t="str">
        <f t="shared" si="4"/>
        <v xml:space="preserve">md 1_1_7_Projekt_abgeschlossen &amp; cd ..  &amp; </v>
      </c>
    </row>
    <row r="17" spans="1:7" x14ac:dyDescent="0.3">
      <c r="A17">
        <f>GANTT!A17</f>
        <v>2</v>
      </c>
      <c r="B17" t="str">
        <f>GANTT!B17&amp;"_"&amp;GANTT!C17</f>
        <v>1.2_Analyse</v>
      </c>
      <c r="C17" t="str">
        <f t="shared" si="0"/>
        <v>1_2_Analyse</v>
      </c>
      <c r="D17" t="str">
        <f t="shared" si="1"/>
        <v xml:space="preserve">md 1_2_Analyse &amp; </v>
      </c>
      <c r="E17" t="str">
        <f t="shared" si="2"/>
        <v xml:space="preserve">cd 1_2_Analyse &amp; </v>
      </c>
      <c r="F17" t="str">
        <f t="shared" si="3"/>
        <v/>
      </c>
      <c r="G17" t="str">
        <f t="shared" si="4"/>
        <v xml:space="preserve">md 1_2_Analyse &amp; cd 1_2_Analyse &amp; </v>
      </c>
    </row>
    <row r="18" spans="1:7" x14ac:dyDescent="0.3">
      <c r="A18">
        <f>GANTT!A18</f>
        <v>3</v>
      </c>
      <c r="B18" t="str">
        <f>GANTT!B18&amp;"_"&amp;GANTT!C18</f>
        <v>1.2.1_GUI analysiren</v>
      </c>
      <c r="C18" t="str">
        <f t="shared" si="0"/>
        <v>1_2_1_GUI_analysiren</v>
      </c>
      <c r="D18" t="str">
        <f t="shared" si="1"/>
        <v xml:space="preserve">md 1_2_1_GUI_analysiren &amp; </v>
      </c>
      <c r="E18" t="str">
        <f t="shared" si="2"/>
        <v/>
      </c>
      <c r="F18" t="str">
        <f t="shared" si="3"/>
        <v/>
      </c>
      <c r="G18" t="str">
        <f t="shared" si="4"/>
        <v xml:space="preserve">md 1_2_1_GUI_analysiren &amp; </v>
      </c>
    </row>
    <row r="19" spans="1:7" x14ac:dyDescent="0.3">
      <c r="A19">
        <f>GANTT!A19</f>
        <v>3</v>
      </c>
      <c r="B19" t="str">
        <f>GANTT!B19&amp;"_"&amp;GANTT!C19</f>
        <v>1.2.2_DB analysieren</v>
      </c>
      <c r="C19" t="str">
        <f t="shared" si="0"/>
        <v>1_2_2_DB_analysieren</v>
      </c>
      <c r="D19" t="str">
        <f t="shared" si="1"/>
        <v xml:space="preserve">md 1_2_2_DB_analysieren &amp; </v>
      </c>
      <c r="E19" t="str">
        <f t="shared" si="2"/>
        <v/>
      </c>
      <c r="F19" t="str">
        <f t="shared" si="3"/>
        <v/>
      </c>
      <c r="G19" t="str">
        <f t="shared" si="4"/>
        <v xml:space="preserve">md 1_2_2_DB_analysieren &amp; </v>
      </c>
    </row>
    <row r="20" spans="1:7" x14ac:dyDescent="0.3">
      <c r="A20">
        <f>GANTT!A20</f>
        <v>3</v>
      </c>
      <c r="B20" t="str">
        <f>GANTT!B20&amp;"_"&amp;GANTT!C20</f>
        <v>1.2.3_Funktionalität analysieren</v>
      </c>
      <c r="C20" t="str">
        <f t="shared" si="0"/>
        <v>1_2_3_Funktionalitaet_analysieren</v>
      </c>
      <c r="D20" t="str">
        <f t="shared" si="1"/>
        <v xml:space="preserve">md 1_2_3_Funktionalitaet_analysieren &amp; </v>
      </c>
      <c r="E20" t="str">
        <f t="shared" si="2"/>
        <v/>
      </c>
      <c r="F20" t="str">
        <f t="shared" si="3"/>
        <v/>
      </c>
      <c r="G20" t="str">
        <f t="shared" si="4"/>
        <v xml:space="preserve">md 1_2_3_Funktionalitaet_analysieren &amp; </v>
      </c>
    </row>
    <row r="21" spans="1:7" x14ac:dyDescent="0.3">
      <c r="A21">
        <f>GANTT!A21</f>
        <v>3</v>
      </c>
      <c r="B21" t="str">
        <f>GANTT!B21&amp;"_"&amp;GANTT!C21</f>
        <v>1.2.4_Analyse abgeschlossen</v>
      </c>
      <c r="C21" t="str">
        <f t="shared" si="0"/>
        <v>1_2_4_Analyse_abgeschlossen</v>
      </c>
      <c r="D21" t="str">
        <f t="shared" si="1"/>
        <v xml:space="preserve">md 1_2_4_Analyse_abgeschlossen &amp; </v>
      </c>
      <c r="E21" t="str">
        <f t="shared" si="2"/>
        <v/>
      </c>
      <c r="F21" t="str">
        <f t="shared" si="3"/>
        <v xml:space="preserve">cd ..  &amp; cd ..  &amp; cd ..  &amp; </v>
      </c>
      <c r="G21" t="str">
        <f t="shared" si="4"/>
        <v xml:space="preserve">md 1_2_4_Analyse_abgeschlossen &amp; cd ..  &amp; cd ..  &amp; cd ..  &amp; </v>
      </c>
    </row>
  </sheetData>
  <dataValidations count="1">
    <dataValidation type="list" allowBlank="1" showInputMessage="1" showErrorMessage="1" sqref="H1" xr:uid="{A6D7FBE4-B668-44B0-80A1-C844513406AA}">
      <formula1>"Windows/Dos, Linux"</formula1>
    </dataValidation>
  </dataValidation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Q27"/>
  <sheetViews>
    <sheetView workbookViewId="0">
      <selection activeCell="B9" sqref="B9:N9"/>
    </sheetView>
  </sheetViews>
  <sheetFormatPr defaultColWidth="11.5546875" defaultRowHeight="14.4" x14ac:dyDescent="0.3"/>
  <cols>
    <col min="1" max="1" width="3.6640625" bestFit="1" customWidth="1"/>
    <col min="2" max="2" width="5.109375" bestFit="1" customWidth="1"/>
    <col min="3" max="3" width="29.5546875" bestFit="1" customWidth="1"/>
    <col min="4" max="4" width="22.109375" customWidth="1"/>
    <col min="5" max="5" width="5.33203125" customWidth="1"/>
    <col min="9" max="17" width="7.88671875" customWidth="1"/>
  </cols>
  <sheetData>
    <row r="1" spans="1:17" x14ac:dyDescent="0.3">
      <c r="B1" s="32"/>
    </row>
    <row r="2" spans="1:17" x14ac:dyDescent="0.3">
      <c r="A2" s="1" t="s">
        <v>0</v>
      </c>
      <c r="B2" s="1" t="s">
        <v>1</v>
      </c>
      <c r="C2" s="2" t="s">
        <v>2</v>
      </c>
      <c r="D2" s="2" t="s">
        <v>3</v>
      </c>
      <c r="E2" s="2"/>
      <c r="F2" s="68" t="s">
        <v>4</v>
      </c>
      <c r="G2" s="68"/>
      <c r="H2" s="69"/>
      <c r="I2" s="67" t="str">
        <f>"Woche " &amp; (COLUMN(I2) - COLUMN($I2)) / 3 + 1</f>
        <v>Woche 1</v>
      </c>
      <c r="J2" s="67"/>
      <c r="K2" s="67"/>
      <c r="L2" s="67" t="str">
        <f t="shared" ref="L2" si="0">"Woche " &amp; (COLUMN(L2) - COLUMN($I2)) / 3 + 1</f>
        <v>Woche 2</v>
      </c>
      <c r="M2" s="67"/>
      <c r="N2" s="67"/>
      <c r="O2" s="67" t="str">
        <f t="shared" ref="O2" si="1">"Woche " &amp; (COLUMN(O2) - COLUMN($I2)) / 3 + 1</f>
        <v>Woche 3</v>
      </c>
      <c r="P2" s="67"/>
      <c r="Q2" s="67"/>
    </row>
    <row r="3" spans="1:17" x14ac:dyDescent="0.3">
      <c r="B3" s="1"/>
      <c r="C3" s="2"/>
      <c r="D3" s="2"/>
      <c r="E3" s="2"/>
      <c r="F3" s="3"/>
      <c r="G3" s="3"/>
      <c r="H3" s="4"/>
      <c r="I3" s="66">
        <f ca="1">TODAY()</f>
        <v>45583</v>
      </c>
      <c r="J3" s="66"/>
      <c r="K3" s="66"/>
      <c r="L3" s="66">
        <f ca="1">I3+7</f>
        <v>45590</v>
      </c>
      <c r="M3" s="66"/>
      <c r="N3" s="66"/>
      <c r="O3" s="66">
        <f ca="1">L3+7</f>
        <v>45597</v>
      </c>
      <c r="P3" s="66"/>
      <c r="Q3" s="66"/>
    </row>
    <row r="4" spans="1:17" x14ac:dyDescent="0.3">
      <c r="B4" s="1"/>
      <c r="C4" s="2"/>
      <c r="D4" s="2"/>
      <c r="E4" s="2"/>
      <c r="F4" s="5" t="s">
        <v>5</v>
      </c>
      <c r="G4" s="5" t="s">
        <v>6</v>
      </c>
      <c r="H4" s="6" t="s">
        <v>7</v>
      </c>
      <c r="I4" s="5" t="s">
        <v>5</v>
      </c>
      <c r="J4" s="5" t="s">
        <v>8</v>
      </c>
      <c r="K4" s="5" t="s">
        <v>7</v>
      </c>
      <c r="L4" s="5" t="s">
        <v>5</v>
      </c>
      <c r="M4" s="5" t="s">
        <v>8</v>
      </c>
      <c r="N4" s="5" t="s">
        <v>7</v>
      </c>
    </row>
    <row r="5" spans="1:17" x14ac:dyDescent="0.3">
      <c r="B5" s="1"/>
      <c r="C5" s="2"/>
      <c r="D5" s="2"/>
      <c r="E5" s="2"/>
      <c r="F5" t="s">
        <v>9</v>
      </c>
      <c r="H5" s="7"/>
      <c r="I5">
        <v>1</v>
      </c>
      <c r="J5">
        <v>0</v>
      </c>
      <c r="K5">
        <v>0</v>
      </c>
      <c r="L5">
        <v>1</v>
      </c>
      <c r="M5">
        <v>0</v>
      </c>
      <c r="N5">
        <v>0</v>
      </c>
    </row>
    <row r="6" spans="1:17" x14ac:dyDescent="0.3">
      <c r="B6" s="32"/>
      <c r="F6" t="s">
        <v>10</v>
      </c>
      <c r="H6" s="7"/>
      <c r="I6">
        <v>0</v>
      </c>
      <c r="J6">
        <v>1</v>
      </c>
      <c r="K6">
        <v>0</v>
      </c>
      <c r="L6">
        <v>0</v>
      </c>
      <c r="M6">
        <v>1</v>
      </c>
      <c r="N6">
        <v>0</v>
      </c>
    </row>
    <row r="7" spans="1:17" x14ac:dyDescent="0.3">
      <c r="B7" s="32"/>
      <c r="F7" s="8"/>
      <c r="G7" s="8"/>
      <c r="H7" s="7" t="s">
        <v>11</v>
      </c>
      <c r="I7" s="9">
        <f>I8</f>
        <v>2</v>
      </c>
      <c r="J7" s="9">
        <f>J8</f>
        <v>1</v>
      </c>
      <c r="L7" s="9">
        <f t="shared" ref="L7:M7" si="2">L8+I7</f>
        <v>3</v>
      </c>
      <c r="M7" s="9">
        <f t="shared" si="2"/>
        <v>2</v>
      </c>
    </row>
    <row r="8" spans="1:17" x14ac:dyDescent="0.3">
      <c r="A8">
        <v>1</v>
      </c>
      <c r="B8" s="10">
        <v>1</v>
      </c>
      <c r="C8" s="11" t="s">
        <v>12</v>
      </c>
      <c r="D8" s="11"/>
      <c r="E8" s="11">
        <f>F8</f>
        <v>3</v>
      </c>
      <c r="F8" s="11">
        <f>SUM(F9)</f>
        <v>3</v>
      </c>
      <c r="G8" s="11">
        <f>SUM(G9)</f>
        <v>2</v>
      </c>
      <c r="H8" s="12">
        <f>SUM(H9*F9)/F8</f>
        <v>3.3333333333333333E-2</v>
      </c>
      <c r="I8" s="11">
        <f>SUM(I9)</f>
        <v>2</v>
      </c>
      <c r="J8" s="11">
        <f>SUM(J9)</f>
        <v>1</v>
      </c>
      <c r="K8" s="13">
        <f>SUM(K9*$F9)/$F8</f>
        <v>0</v>
      </c>
      <c r="L8" s="11">
        <f t="shared" ref="L8:M8" si="3">SUM(L9)</f>
        <v>1</v>
      </c>
      <c r="M8" s="11">
        <f t="shared" si="3"/>
        <v>1</v>
      </c>
      <c r="N8" s="13">
        <f t="shared" ref="N8" si="4">SUM(N9*$F9)/$F8</f>
        <v>3.3333333333333333E-2</v>
      </c>
      <c r="O8" s="11">
        <f t="shared" ref="O8:P8" si="5">SUM(O9)</f>
        <v>0</v>
      </c>
      <c r="P8" s="11">
        <f t="shared" si="5"/>
        <v>1</v>
      </c>
      <c r="Q8" s="13">
        <f t="shared" ref="Q8" si="6">SUM(Q9*$F9)/$F8</f>
        <v>3.3333333333333333E-2</v>
      </c>
    </row>
    <row r="9" spans="1:17" x14ac:dyDescent="0.3">
      <c r="A9">
        <v>2</v>
      </c>
      <c r="B9" s="14" t="s">
        <v>13</v>
      </c>
      <c r="C9" s="15" t="s">
        <v>14</v>
      </c>
      <c r="D9" s="14"/>
      <c r="E9" s="14">
        <f t="shared" ref="E9:E12" si="7">F9</f>
        <v>3</v>
      </c>
      <c r="F9" s="16">
        <f>SUM(F10:F12)</f>
        <v>3</v>
      </c>
      <c r="G9" s="16">
        <f>SUM(G10:G12)</f>
        <v>2</v>
      </c>
      <c r="H9" s="17">
        <f>SUMPRODUCT($F10:$F12,H10:H12)/$F9</f>
        <v>3.3333333333333333E-2</v>
      </c>
      <c r="I9" s="16">
        <f>SUM(I10:I12)</f>
        <v>2</v>
      </c>
      <c r="J9" s="16">
        <f>SUM(J10:J12)</f>
        <v>1</v>
      </c>
      <c r="K9" s="18">
        <f>SUMPRODUCT($F10:$F12,K10:K12)/$F9</f>
        <v>0</v>
      </c>
      <c r="L9" s="16">
        <f t="shared" ref="L9:M9" si="8">SUM(L10:L12)</f>
        <v>1</v>
      </c>
      <c r="M9" s="16">
        <f t="shared" si="8"/>
        <v>1</v>
      </c>
      <c r="N9" s="18">
        <f t="shared" ref="N9" si="9">SUMPRODUCT($F10:$F12,N10:N12)/$F9</f>
        <v>3.3333333333333333E-2</v>
      </c>
      <c r="O9" s="16">
        <f t="shared" ref="O9:P9" si="10">SUM(O10:O12)</f>
        <v>0</v>
      </c>
      <c r="P9" s="16">
        <f t="shared" si="10"/>
        <v>1</v>
      </c>
      <c r="Q9" s="18">
        <f t="shared" ref="Q9" si="11">SUMPRODUCT($F10:$F12,Q10:Q12)/$F9</f>
        <v>3.3333333333333333E-2</v>
      </c>
    </row>
    <row r="10" spans="1:17" x14ac:dyDescent="0.3">
      <c r="A10">
        <v>3</v>
      </c>
      <c r="B10" s="19" t="s">
        <v>15</v>
      </c>
      <c r="C10" s="20" t="s">
        <v>16</v>
      </c>
      <c r="D10" s="19"/>
      <c r="E10" s="19">
        <f t="shared" si="7"/>
        <v>2</v>
      </c>
      <c r="F10" s="21">
        <f>SUMPRODUCT(I10:N10,I5:N5)</f>
        <v>2</v>
      </c>
      <c r="G10" s="21">
        <f>SUMPRODUCT(I10:N10,I6:N6)</f>
        <v>0</v>
      </c>
      <c r="H10" s="22">
        <f>N10</f>
        <v>0</v>
      </c>
      <c r="I10" s="21">
        <v>1</v>
      </c>
      <c r="J10" s="21"/>
      <c r="K10" s="23">
        <v>0</v>
      </c>
      <c r="L10" s="21">
        <v>1</v>
      </c>
      <c r="M10" s="21"/>
      <c r="N10" s="23">
        <v>0</v>
      </c>
      <c r="O10" s="21"/>
      <c r="P10" s="21"/>
      <c r="Q10" s="23">
        <v>0</v>
      </c>
    </row>
    <row r="11" spans="1:17" x14ac:dyDescent="0.3">
      <c r="A11">
        <v>3</v>
      </c>
      <c r="B11" s="19" t="s">
        <v>17</v>
      </c>
      <c r="C11" s="20" t="s">
        <v>18</v>
      </c>
      <c r="D11" s="19"/>
      <c r="E11" s="19">
        <f t="shared" si="7"/>
        <v>1</v>
      </c>
      <c r="F11" s="21">
        <f>SUMPRODUCT(I11:N11,_plan_vector)</f>
        <v>1</v>
      </c>
      <c r="G11" s="21">
        <f>SUMPRODUCT(I11:N11,_ist_vector)</f>
        <v>2</v>
      </c>
      <c r="H11" s="22">
        <f t="shared" ref="H11:H12" si="12">N11</f>
        <v>0.1</v>
      </c>
      <c r="I11" s="21">
        <v>1</v>
      </c>
      <c r="J11" s="21">
        <v>1</v>
      </c>
      <c r="K11" s="23">
        <v>0</v>
      </c>
      <c r="L11" s="21"/>
      <c r="M11" s="21">
        <v>1</v>
      </c>
      <c r="N11" s="23">
        <v>0.1</v>
      </c>
      <c r="O11" s="21"/>
      <c r="P11" s="21">
        <v>1</v>
      </c>
      <c r="Q11" s="23">
        <f>N11</f>
        <v>0.1</v>
      </c>
    </row>
    <row r="12" spans="1:17" x14ac:dyDescent="0.3">
      <c r="A12">
        <v>3</v>
      </c>
      <c r="B12" s="19" t="s">
        <v>19</v>
      </c>
      <c r="C12" s="20" t="s">
        <v>20</v>
      </c>
      <c r="D12" s="24"/>
      <c r="E12" s="24">
        <f t="shared" si="7"/>
        <v>0</v>
      </c>
      <c r="F12" s="21">
        <f>SUMPRODUCT(I12:N12,_plan_vector)</f>
        <v>0</v>
      </c>
      <c r="G12" s="21">
        <f>SUMPRODUCT(I12:N12,_ist_vector)</f>
        <v>0</v>
      </c>
      <c r="H12" s="22">
        <f t="shared" si="12"/>
        <v>0</v>
      </c>
      <c r="I12" s="21"/>
      <c r="J12" s="21"/>
      <c r="K12" s="23">
        <v>0</v>
      </c>
      <c r="L12" s="21"/>
      <c r="M12" s="21"/>
      <c r="N12" s="23">
        <v>0</v>
      </c>
      <c r="O12" s="21"/>
      <c r="P12" s="21"/>
      <c r="Q12" s="23">
        <v>0</v>
      </c>
    </row>
    <row r="13" spans="1:17" x14ac:dyDescent="0.3">
      <c r="B13" s="24"/>
      <c r="C13" s="24"/>
      <c r="D13" s="24"/>
      <c r="E13" s="24"/>
      <c r="F13" s="24"/>
      <c r="G13" s="24"/>
      <c r="H13" s="22"/>
      <c r="I13" s="21"/>
      <c r="J13" s="21"/>
      <c r="K13" s="23"/>
      <c r="L13" s="21"/>
      <c r="M13" s="21"/>
      <c r="N13" s="23"/>
      <c r="O13" s="21"/>
      <c r="P13" s="21"/>
      <c r="Q13" s="23"/>
    </row>
    <row r="14" spans="1:17" x14ac:dyDescent="0.3">
      <c r="B14" s="70" t="s">
        <v>21</v>
      </c>
      <c r="C14" s="70"/>
      <c r="D14" s="24"/>
      <c r="E14" s="24"/>
      <c r="H14" s="22"/>
      <c r="I14" s="21"/>
      <c r="J14" s="21"/>
      <c r="K14" s="23"/>
      <c r="L14" s="21"/>
      <c r="M14" s="21"/>
      <c r="N14" s="23"/>
      <c r="O14" s="21"/>
      <c r="P14" s="21"/>
      <c r="Q14" s="23"/>
    </row>
    <row r="15" spans="1:17" x14ac:dyDescent="0.3">
      <c r="B15" s="25"/>
      <c r="C15" s="26"/>
      <c r="D15" s="26"/>
      <c r="E15" s="26"/>
      <c r="F15" s="26"/>
      <c r="G15" s="26"/>
      <c r="H15" s="27"/>
      <c r="I15" s="26"/>
      <c r="J15" s="26"/>
      <c r="K15" s="26"/>
      <c r="L15" s="26"/>
      <c r="M15" s="26"/>
      <c r="N15" s="26"/>
      <c r="O15" s="26"/>
      <c r="P15" s="26"/>
      <c r="Q15" s="26"/>
    </row>
    <row r="16" spans="1:17" x14ac:dyDescent="0.3">
      <c r="B16" s="71" t="s">
        <v>22</v>
      </c>
      <c r="C16" s="71"/>
      <c r="D16" s="24"/>
      <c r="E16" s="24"/>
      <c r="F16" s="21">
        <f>SUMPRODUCT(I16:N16,_plan_vector)</f>
        <v>2</v>
      </c>
      <c r="G16" s="21">
        <f>SUMPRODUCT(I16:N16,_ist_vector)</f>
        <v>2</v>
      </c>
      <c r="H16" s="22"/>
      <c r="I16" s="28">
        <v>1</v>
      </c>
      <c r="J16" s="28">
        <v>1</v>
      </c>
      <c r="L16" s="28">
        <v>1</v>
      </c>
      <c r="M16" s="28">
        <v>1</v>
      </c>
      <c r="O16" s="28">
        <v>1</v>
      </c>
      <c r="P16" s="28">
        <v>1</v>
      </c>
    </row>
    <row r="17" spans="1:16" x14ac:dyDescent="0.3">
      <c r="B17" s="71" t="s">
        <v>23</v>
      </c>
      <c r="C17" s="71"/>
      <c r="D17" s="24"/>
      <c r="E17" s="24"/>
      <c r="F17" s="21">
        <f>SUMPRODUCT(I17:N17,_plan_vector)</f>
        <v>200</v>
      </c>
      <c r="G17" s="21">
        <f>SUMPRODUCT(I17:N17,_ist_vector)</f>
        <v>2</v>
      </c>
      <c r="H17" s="22"/>
      <c r="I17" s="29">
        <v>100</v>
      </c>
      <c r="J17" s="29">
        <v>1</v>
      </c>
      <c r="L17" s="29">
        <v>100</v>
      </c>
      <c r="M17" s="29">
        <v>1</v>
      </c>
      <c r="O17" s="29">
        <v>100</v>
      </c>
      <c r="P17" s="29">
        <v>1</v>
      </c>
    </row>
    <row r="24" spans="1:16" x14ac:dyDescent="0.3">
      <c r="B24" s="30"/>
    </row>
    <row r="25" spans="1:16" x14ac:dyDescent="0.3">
      <c r="C25" t="s">
        <v>31</v>
      </c>
    </row>
    <row r="27" spans="1:16" x14ac:dyDescent="0.3">
      <c r="A27" s="31" t="s">
        <v>29</v>
      </c>
      <c r="D27" s="33">
        <v>11.23</v>
      </c>
    </row>
  </sheetData>
  <mergeCells count="10">
    <mergeCell ref="B14:C14"/>
    <mergeCell ref="B16:C16"/>
    <mergeCell ref="B17:C17"/>
    <mergeCell ref="F2:H2"/>
    <mergeCell ref="I2:K2"/>
    <mergeCell ref="L2:N2"/>
    <mergeCell ref="O2:Q2"/>
    <mergeCell ref="I3:K3"/>
    <mergeCell ref="L3:N3"/>
    <mergeCell ref="O3:Q3"/>
  </mergeCells>
  <conditionalFormatting sqref="I2:Q3">
    <cfRule type="expression" dxfId="6" priority="7">
      <formula>AND(YEAR(TODAY()) = YEAR(I$3-1),WEEKNUM(TODAY()) = WEEKNUM(I$3-1))</formula>
    </cfRule>
  </conditionalFormatting>
  <conditionalFormatting sqref="B9:C12">
    <cfRule type="expression" dxfId="5" priority="6">
      <formula>$E9=0</formula>
    </cfRule>
  </conditionalFormatting>
  <conditionalFormatting sqref="F9:H12">
    <cfRule type="expression" dxfId="4" priority="5">
      <formula>F9 = 0</formula>
    </cfRule>
  </conditionalFormatting>
  <conditionalFormatting sqref="K9:K12 N9:N12 Q9:Q12">
    <cfRule type="expression" dxfId="3" priority="1">
      <formula>(K9=H9)</formula>
    </cfRule>
  </conditionalFormatting>
  <conditionalFormatting sqref="I9:Q12">
    <cfRule type="expression" dxfId="2" priority="2">
      <formula>AND(INDEX($I9:K9,FLOOR((COLUMN(I5)-COLUMN($I5)) / 3,1)*3+1) &gt; 0,$A10 &gt; $A9)</formula>
    </cfRule>
    <cfRule type="expression" dxfId="1" priority="3">
      <formula>INDEX($I9:K9,FLOOR((COLUMN(I5)-COLUMN($I5)) / 3,1)*3+1) &gt; 0</formula>
    </cfRule>
    <cfRule type="expression" dxfId="0" priority="4">
      <formula>I9 = 0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Projektdaten</vt:lpstr>
      <vt:lpstr>GANTT</vt:lpstr>
      <vt:lpstr>Termine</vt:lpstr>
      <vt:lpstr>W</vt:lpstr>
      <vt:lpstr>J</vt:lpstr>
      <vt:lpstr>F</vt:lpstr>
      <vt:lpstr>AP Abnahme</vt:lpstr>
      <vt:lpstr>MS Plan</vt:lpstr>
      <vt:lpstr>Funktionendiagramm</vt:lpstr>
      <vt:lpstr>Personaleinsatz</vt:lpstr>
      <vt:lpstr>Kostenplan</vt:lpstr>
      <vt:lpstr>Risikoanalyse</vt:lpstr>
      <vt:lpstr>EVA</vt:lpstr>
      <vt:lpstr>Ablagestruktur</vt:lpstr>
      <vt:lpstr>Einstellungen</vt:lpstr>
      <vt:lpstr>Einstellungen!_ist_vector</vt:lpstr>
      <vt:lpstr>Einstellungen!_plan_vector</vt:lpstr>
      <vt:lpstr>Einstellungen!fmtDATA_1</vt:lpstr>
      <vt:lpstr>Einstellungen!fmtDATA_AP</vt:lpstr>
      <vt:lpstr>Einstellungen!fmtDATA_Collection</vt:lpstr>
      <vt:lpstr>Einstellungen!fmtPSP_1</vt:lpstr>
      <vt:lpstr>Einstellungen!fmtPSP_AP</vt:lpstr>
      <vt:lpstr>Einstellungen!fmtPSP_Collection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 Burgstaller</dc:creator>
  <cp:lastModifiedBy>Zoe McFife</cp:lastModifiedBy>
  <dcterms:created xsi:type="dcterms:W3CDTF">2014-02-21T16:11:07Z</dcterms:created>
  <dcterms:modified xsi:type="dcterms:W3CDTF">2024-10-18T11:13:43Z</dcterms:modified>
</cp:coreProperties>
</file>